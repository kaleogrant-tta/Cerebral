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cerebral\Cerebral\config\"/>
    </mc:Choice>
  </mc:AlternateContent>
  <xr:revisionPtr revIDLastSave="0" documentId="11_6A9AD4A1BB069A81D545C650F0D6844B8B4E1F92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apping" sheetId="1" r:id="rId1"/>
    <sheet name="Campaigns" sheetId="2" r:id="rId2"/>
    <sheet name="Legend" sheetId="3" r:id="rId3"/>
    <sheet name="Events Calendar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" l="1"/>
  <c r="H21" i="2" s="1"/>
  <c r="G20" i="2"/>
  <c r="H20" i="2" s="1"/>
  <c r="G19" i="2"/>
  <c r="H19" i="2" s="1"/>
  <c r="H18" i="2"/>
  <c r="G18" i="2"/>
  <c r="H17" i="2"/>
  <c r="G17" i="2"/>
  <c r="H16" i="2"/>
  <c r="G16" i="2"/>
  <c r="G15" i="2"/>
  <c r="H15" i="2" s="1"/>
  <c r="G14" i="2"/>
  <c r="H14" i="2" s="1"/>
  <c r="G13" i="2"/>
  <c r="H13" i="2" s="1"/>
  <c r="H12" i="2"/>
  <c r="G12" i="2"/>
  <c r="G11" i="2"/>
  <c r="H11" i="2" s="1"/>
  <c r="G10" i="2"/>
  <c r="H10" i="2" s="1"/>
  <c r="G9" i="2"/>
  <c r="H9" i="2" s="1"/>
  <c r="G8" i="2"/>
  <c r="H8" i="2" s="1"/>
  <c r="G7" i="2"/>
  <c r="H7" i="2" s="1"/>
  <c r="H6" i="2"/>
  <c r="G6" i="2"/>
  <c r="G5" i="2"/>
  <c r="H5" i="2" s="1"/>
  <c r="G4" i="2"/>
  <c r="H4" i="2" s="1"/>
  <c r="G3" i="2"/>
  <c r="H3" i="2" s="1"/>
  <c r="G2" i="2"/>
  <c r="H2" i="2" s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Day the most distinct roster members transacted, derived from the sales export. Reliable when peak_customers &gt;= 7; below that it is noise.</t>
        </r>
      </text>
    </comment>
    <comment ref="K1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Costs are budgeted per CAMPAIGN, not per event. Several audiences roll up to one campaign, so ROI is computed at campaign level.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1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Which budget column applies to the event's actual date. Cali Sober Sips ran Jan 2026 but carries both a 2025 and a 2026 figure - pick one deliberately.</t>
        </r>
      </text>
    </comment>
    <comment ref="G1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ASSUMPTION: media_spend is treated as ADDITIVE to the campaign cost. If media is already inside the campaign figure, delete '+IFERROR(E,0)' from this column. For All Things Go this is the difference between $55,000 and $88,000.</t>
        </r>
      </text>
    </comment>
    <comment ref="H1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ASSUMPTION: brand_funded_pct is the share a partner covered, so TTA's net is gross x (1 - pct). Confirm the direction before reporting.</t>
        </r>
      </text>
    </comment>
  </commentList>
</comments>
</file>

<file path=xl/sharedStrings.xml><?xml version="1.0" encoding="utf-8"?>
<sst xmlns="http://schemas.openxmlformats.org/spreadsheetml/2006/main" count="1253" uniqueCount="581">
  <si>
    <t>audience_id</t>
  </si>
  <si>
    <t>audience_name</t>
  </si>
  <si>
    <t>audience_created</t>
  </si>
  <si>
    <t>roster_rows</t>
  </si>
  <si>
    <t>peak_purchase_day</t>
  </si>
  <si>
    <t>peak_customers</t>
  </si>
  <si>
    <t>event_date</t>
  </si>
  <si>
    <t>event_name</t>
  </si>
  <si>
    <t>store</t>
  </si>
  <si>
    <t>event_type</t>
  </si>
  <si>
    <t>campaign</t>
  </si>
  <si>
    <t>purchase_defined</t>
  </si>
  <si>
    <t>eligible</t>
  </si>
  <si>
    <t>notes</t>
  </si>
  <si>
    <t>277053</t>
  </si>
  <si>
    <t>Sasha Colby Event Purchasers</t>
  </si>
  <si>
    <t>2025-06-11</t>
  </si>
  <si>
    <t>2025-06-04</t>
  </si>
  <si>
    <t>Flamer &amp; Sasha Colby Meet &amp; Greet</t>
  </si>
  <si>
    <t>DTBK</t>
  </si>
  <si>
    <t>TTA Brand Event</t>
  </si>
  <si>
    <t>Pride</t>
  </si>
  <si>
    <t>YES</t>
  </si>
  <si>
    <t>277061</t>
  </si>
  <si>
    <t>House of Puff - Giveaway</t>
  </si>
  <si>
    <t>2025-06-06</t>
  </si>
  <si>
    <t>House of Puff - Giveaway (not on calendar)</t>
  </si>
  <si>
    <t>(none)</t>
  </si>
  <si>
    <t>NO</t>
  </si>
  <si>
    <t>292571</t>
  </si>
  <si>
    <t>Double Points Store Event - Zenco</t>
  </si>
  <si>
    <t>2025-09-04</t>
  </si>
  <si>
    <t>2025-07-10</t>
  </si>
  <si>
    <t>Back to Cool x Cloud Bar USQ</t>
  </si>
  <si>
    <t>USQ</t>
  </si>
  <si>
    <t>In-Store Activation</t>
  </si>
  <si>
    <t>REVIEW</t>
  </si>
  <si>
    <t>293013</t>
  </si>
  <si>
    <t>BK Planet Opt-In</t>
  </si>
  <si>
    <t>2025-09-08</t>
  </si>
  <si>
    <t>2025-08-24</t>
  </si>
  <si>
    <t>Planet Brooklyn 2-day Music Festival (day 2)</t>
  </si>
  <si>
    <t>Planet Brooklyn</t>
  </si>
  <si>
    <t>294147</t>
  </si>
  <si>
    <t>Uprights Citizens Brigade 1-year Anniversary OPT-INS</t>
  </si>
  <si>
    <t>2025-09-15</t>
  </si>
  <si>
    <t>2023-12-20</t>
  </si>
  <si>
    <t>2025-09-12</t>
  </si>
  <si>
    <t>One Year Re-Opening Anniversary Party UCB</t>
  </si>
  <si>
    <t>Not In Store</t>
  </si>
  <si>
    <t>Community Programming</t>
  </si>
  <si>
    <t>One Year Re-Opening Anniversary Party UCB (2025-09-12)</t>
  </si>
  <si>
    <t>296559</t>
  </si>
  <si>
    <t>All Things Go 2025</t>
  </si>
  <si>
    <t>2025-09-29</t>
  </si>
  <si>
    <t>2025-09-26</t>
  </si>
  <si>
    <t>All Things Go Festival Day #1</t>
  </si>
  <si>
    <t>All Things Go</t>
  </si>
  <si>
    <t>305960</t>
  </si>
  <si>
    <t>Witchcraft - USQ</t>
  </si>
  <si>
    <t>2025-11-25</t>
  </si>
  <si>
    <t>2025-10-09</t>
  </si>
  <si>
    <t>Witchcraft In-Store: Ithaca Organics</t>
  </si>
  <si>
    <t>Witchcraft</t>
  </si>
  <si>
    <t>305961</t>
  </si>
  <si>
    <t>Witchcraft - SoHo</t>
  </si>
  <si>
    <t>2025-10-15</t>
  </si>
  <si>
    <t>Witchcraft In-Store: Umamii</t>
  </si>
  <si>
    <t>SOHO</t>
  </si>
  <si>
    <t>305962</t>
  </si>
  <si>
    <t>Witchcraft - DTBK</t>
  </si>
  <si>
    <t>2025-10-23</t>
  </si>
  <si>
    <t>Witchcraft In-Store: Dada @ DTBK</t>
  </si>
  <si>
    <t>305963</t>
  </si>
  <si>
    <t>Witchcraft - 5TH</t>
  </si>
  <si>
    <t>2025-10-29</t>
  </si>
  <si>
    <t>Witchcraft In-Store: Ravensview @ FIFTH</t>
  </si>
  <si>
    <t>FIFTH</t>
  </si>
  <si>
    <t>308482</t>
  </si>
  <si>
    <t>House of High Sign-In Form</t>
  </si>
  <si>
    <t>2025-12-11</t>
  </si>
  <si>
    <t>2025-11-29</t>
  </si>
  <si>
    <t>2025-11-07</t>
  </si>
  <si>
    <t>House of High: A Cannabis Imaginarium (runs to 11-29)</t>
  </si>
  <si>
    <t>House of High</t>
  </si>
  <si>
    <t>House of High: Opening Party (2025-11-06) / Imaginarium (2025-11-07). Peak 11-29 is likely Black Friday, not the event.</t>
  </si>
  <si>
    <t>311312</t>
  </si>
  <si>
    <t>Upload: AndyFrascoSoHo1</t>
  </si>
  <si>
    <t>2025-12-31</t>
  </si>
  <si>
    <t>2025-12-30</t>
  </si>
  <si>
    <t>Artist Events: Andy Frasco - Dec 30</t>
  </si>
  <si>
    <t>Artist Events</t>
  </si>
  <si>
    <t>315976</t>
  </si>
  <si>
    <t>Upload: CaliSoberSipsImportFile Jan2026 - OPTIN</t>
  </si>
  <si>
    <t>2026-02-04</t>
  </si>
  <si>
    <t>2026-01-29</t>
  </si>
  <si>
    <t>Cali Sober Sips 2026: Fifth</t>
  </si>
  <si>
    <t>Cali Sober Sips</t>
  </si>
  <si>
    <t>316172</t>
  </si>
  <si>
    <t>Upload: CaliSoberSips2026 Full File</t>
  </si>
  <si>
    <t>2026-02-05</t>
  </si>
  <si>
    <t>318908</t>
  </si>
  <si>
    <t>11/15-Event</t>
  </si>
  <si>
    <t>2026-02-26</t>
  </si>
  <si>
    <t>2024-05-11</t>
  </si>
  <si>
    <t>2025-11-15</t>
  </si>
  <si>
    <t>Ghostface Killah Listening Party</t>
  </si>
  <si>
    <t>Multi</t>
  </si>
  <si>
    <t>Ghostface Killah Listening Party (2025-11-15) - audience name says 11/15</t>
  </si>
  <si>
    <t>322625</t>
  </si>
  <si>
    <t>OBC-Event-March-2026</t>
  </si>
  <si>
    <t>2026-03-24</t>
  </si>
  <si>
    <t>2026-03-23</t>
  </si>
  <si>
    <t>Open Book Club x TTA (Read &amp; Unwind)</t>
  </si>
  <si>
    <t>Open Book Club</t>
  </si>
  <si>
    <t>326334</t>
  </si>
  <si>
    <t>Upload: OBCBookPickupsCustomerData</t>
  </si>
  <si>
    <t>2026-04-20</t>
  </si>
  <si>
    <t>2023-04-10</t>
  </si>
  <si>
    <t>420 2026 Food Drops &amp; DJ April 20</t>
  </si>
  <si>
    <t>420</t>
  </si>
  <si>
    <t>Open Book Club pickups - tie to OBC 2026-03-23? Campaign = Open Book Club.</t>
  </si>
  <si>
    <t>326769</t>
  </si>
  <si>
    <t>Upload: OnlyNYPhotobooth</t>
  </si>
  <si>
    <t>2026-04-22</t>
  </si>
  <si>
    <t>2026-04-16</t>
  </si>
  <si>
    <t>420 2026 OnlyNY Launch Party</t>
  </si>
  <si>
    <t>327544</t>
  </si>
  <si>
    <t>Upload: OnlyNY x TTA Launch Party</t>
  </si>
  <si>
    <t>2026-04-28</t>
  </si>
  <si>
    <t>329021</t>
  </si>
  <si>
    <t>Upload: TrayTablesUp</t>
  </si>
  <si>
    <t>2026-05-07</t>
  </si>
  <si>
    <t>2024-04-15</t>
  </si>
  <si>
    <t>DUPLICATE: 47 of its 50 members are also in 333871. Same event uploaded twice - leave unmapped to avoid double-counting.</t>
  </si>
  <si>
    <t>329291</t>
  </si>
  <si>
    <t>Upload: BacktoCool 2026</t>
  </si>
  <si>
    <t>2026-05-11</t>
  </si>
  <si>
    <t>Back to Cool x Cloud Bar (spans 4 stores, Sept 2025)</t>
  </si>
  <si>
    <t>Back to Cool x Cloud Bar - four events Sept 2025 (USQ 09-04, DTBK 09-12, SoHo 09-18, Fifth 09-25)</t>
  </si>
  <si>
    <t>329292</t>
  </si>
  <si>
    <t>Upload: InFlightBites</t>
  </si>
  <si>
    <t>2025-10-31</t>
  </si>
  <si>
    <t>UNRESOLVED: no calendar match. Enrollment dates are bulk-import stamps, not attendance.</t>
  </si>
  <si>
    <t>330517</t>
  </si>
  <si>
    <t>Upload: OBC May Event 2026</t>
  </si>
  <si>
    <t>2026-05-19</t>
  </si>
  <si>
    <t>2024-09-25</t>
  </si>
  <si>
    <t>2026-05-18</t>
  </si>
  <si>
    <t>Open Book Club x TTA: Anais Wine Bar</t>
  </si>
  <si>
    <t>Open Book Club x TTA: Anais Wine Bar (2026-05-18). Campaign = Open Book Club.</t>
  </si>
  <si>
    <t>332448</t>
  </si>
  <si>
    <t>Pride Pouch - June 2026</t>
  </si>
  <si>
    <t>2026-06-03</t>
  </si>
  <si>
    <t>2026-05-30</t>
  </si>
  <si>
    <t>PROBABLY NOT AN EVENT: 14 of 20 enrollment dates span 2024-2026 with no cluster. Looks like a giveaway to existing members.</t>
  </si>
  <si>
    <t>333871</t>
  </si>
  <si>
    <t>Upload: TrayTablesUp6122026</t>
  </si>
  <si>
    <t>2026-06-12</t>
  </si>
  <si>
    <t>Tray Tables Up June (calendar shows 06-08)</t>
  </si>
  <si>
    <t>Tray Tables Up</t>
  </si>
  <si>
    <t>TRAY TABLES UP w. Litclub Founder Kelly (2026-06-08). Campaign = Tray Tables Up.</t>
  </si>
  <si>
    <t>333969</t>
  </si>
  <si>
    <t>Upload: HighNotes609Guests</t>
  </si>
  <si>
    <t>2026-06-15</t>
  </si>
  <si>
    <t>2025-07-04</t>
  </si>
  <si>
    <t>2026-06-08</t>
  </si>
  <si>
    <t>High Notes Live #1</t>
  </si>
  <si>
    <t>High Notes Live</t>
  </si>
  <si>
    <t>334090</t>
  </si>
  <si>
    <t>Upload: LoyaltyDinnerAttendees</t>
  </si>
  <si>
    <t>2024-11-27</t>
  </si>
  <si>
    <t>2026-06-04</t>
  </si>
  <si>
    <t>Chef Dinner (timeless brand partner loyalty)</t>
  </si>
  <si>
    <t>Loyalty</t>
  </si>
  <si>
    <t>339283</t>
  </si>
  <si>
    <t>Upload: HighNotes 6 30 2026</t>
  </si>
  <si>
    <t>2026-06-30</t>
  </si>
  <si>
    <t>2026-02-12</t>
  </si>
  <si>
    <t>2026-06-29</t>
  </si>
  <si>
    <t>High Notes Live #2</t>
  </si>
  <si>
    <t>339284</t>
  </si>
  <si>
    <t>Upload: ClearForTakeoff 630 2026</t>
  </si>
  <si>
    <t>2026-06-27</t>
  </si>
  <si>
    <t>Clear for Takeoff Returns with Whitfit</t>
  </si>
  <si>
    <t>Clear for Takeoff</t>
  </si>
  <si>
    <t>339724</t>
  </si>
  <si>
    <t>Upload: ClearForTakeoff Google Sheet Backfill</t>
  </si>
  <si>
    <t>2026-07-02</t>
  </si>
  <si>
    <t>342632</t>
  </si>
  <si>
    <t>TTA Pride Pouch 200 Point Bonus About to Bust Comedy Festival</t>
  </si>
  <si>
    <t>2026-05-12</t>
  </si>
  <si>
    <t>Purchase peak 2026-05-19, all 39 buy at SoHo. Not on the events calendar.</t>
  </si>
  <si>
    <t>cost_2025</t>
  </si>
  <si>
    <t>cost_2026_est</t>
  </si>
  <si>
    <t>brand_funded_pct</t>
  </si>
  <si>
    <t>media_spend</t>
  </si>
  <si>
    <t>cost_year_to_use</t>
  </si>
  <si>
    <t>gross_cost</t>
  </si>
  <si>
    <t>net_cost_to_tta</t>
  </si>
  <si>
    <t>Without creative or brand ambassadors; includes Brand Spotlight &amp; Signage</t>
  </si>
  <si>
    <t>Get Lost</t>
  </si>
  <si>
    <t>Without creative or brand ambassadors; get lost parties</t>
  </si>
  <si>
    <t>Without event sponsorships or brand ambassadors</t>
  </si>
  <si>
    <t>Includes garden party; Sasha Colby; Stoner Pride; NYC Pride; stash bags; $10k media for wildpostings with FLAMER; excludes creative/BAs</t>
  </si>
  <si>
    <t>Project Pigeon (Loyalty 2.0)</t>
  </si>
  <si>
    <t>Without creative</t>
  </si>
  <si>
    <t>Holiday</t>
  </si>
  <si>
    <t>Without creative or brand ambassadors</t>
  </si>
  <si>
    <t>NYFF</t>
  </si>
  <si>
    <t>BAM</t>
  </si>
  <si>
    <t>Without brand ambassadors</t>
  </si>
  <si>
    <t>PR Events (High Tea &amp; So Soho VIP)</t>
  </si>
  <si>
    <t>Without creative; brand ambassadors; florals; venue; printing; or photos</t>
  </si>
  <si>
    <t>DJ Series (Airwaves)</t>
  </si>
  <si>
    <t>Partial year; local DJs</t>
  </si>
  <si>
    <t>No budget line supplied</t>
  </si>
  <si>
    <t>Use for audiences with no campaign</t>
  </si>
  <si>
    <t>Every budget line excludes creative and brand ambassadors.</t>
  </si>
  <si>
    <t>BAs staff these activations, so every figure here understates true event cost by an unknown amount. Source: campaign budget supplied by marketing, August 2026.</t>
  </si>
  <si>
    <t>Audience -&gt; Event mapping, and campaign costing</t>
  </si>
  <si>
    <t>Fill the YELLOW cells. White cells are reference data or calculated.</t>
  </si>
  <si>
    <t>MAPPING TAB</t>
  </si>
  <si>
    <t>event_date   The true date the event happened. NOT audience_created, which is when the</t>
  </si>
  <si>
    <t xml:space="preserve">             list was uploaded to AIQ and lags the event by 1 to 47 days in this data.</t>
  </si>
  <si>
    <t>campaign     Which budget line funds this event. Several audiences can share one campaign;</t>
  </si>
  <si>
    <t xml:space="preserve">             ROI is therefore computed at campaign level, not per event.</t>
  </si>
  <si>
    <t>purchase_defined  YES if membership requires a purchase (e.g. 'Event Purchasers'). Those</t>
  </si>
  <si>
    <t xml:space="preserve">             audiences report ~100% same-day conversion by construction and are excluded.</t>
  </si>
  <si>
    <t>eligible     Calculated. UNMAPPED until event_date is filled; EXCLUDE if purchase_defined=YES.</t>
  </si>
  <si>
    <t>CAMPAIGNS TAB</t>
  </si>
  <si>
    <t>cost_year_to_use  Pick 2025 or 2026 to match when the event actually ran.</t>
  </si>
  <si>
    <t>gross_cost   Calculated: chosen-year cost + media_spend.</t>
  </si>
  <si>
    <t>net_cost_to_tta   Calculated: gross x (1 - brand_funded_pct).</t>
  </si>
  <si>
    <t>THREE ASSUMPTIONS TO CONFIRM WITH MARKETING</t>
  </si>
  <si>
    <t xml:space="preserve">  1. Is media_spend additive to the campaign cost, or already inside it?</t>
  </si>
  <si>
    <t xml:space="preserve">     All Things Go is either $55,000 or $88,000 depending on the answer.</t>
  </si>
  <si>
    <t xml:space="preserve">  2. Does brand_funded_pct mean the partner paid that share? Net assumes yes.</t>
  </si>
  <si>
    <t xml:space="preserve">  3. Every line excludes creative and brand ambassadors, so all costs are understated.</t>
  </si>
  <si>
    <t>COVERAGE</t>
  </si>
  <si>
    <t xml:space="preserve">  20 of 31 audiences are pre-mapped from confirmed calendar matches.</t>
  </si>
  <si>
    <t xml:space="preserve">  11 are blank with a candidate suggestion in the notes column.</t>
  </si>
  <si>
    <t xml:space="preserve">  12 campaigns have budgets; 7 more are listed with no budget line supplied.</t>
  </si>
  <si>
    <t xml:space="preserve">  Get Lost, BAM, NYFF, Holiday, Project Pigeon, PR Events and DJ Series carry budget</t>
  </si>
  <si>
    <t xml:space="preserve">  but have no audience roster - nobody captured signups at those events.</t>
  </si>
  <si>
    <t>Example of a completed Mapping row:</t>
  </si>
  <si>
    <t xml:space="preserve">  327544 | 2026-04-16 | 420 2026 OnlyNY Launch Party | SOHO | In-Store Activation | 420 | NO</t>
  </si>
  <si>
    <t>store_location</t>
  </si>
  <si>
    <t>brand_partners</t>
  </si>
  <si>
    <t>2025-05-01</t>
  </si>
  <si>
    <t>Airwaves @ Fifth May 1</t>
  </si>
  <si>
    <t>Catbird + TTA Sip &amp; Style</t>
  </si>
  <si>
    <t>Charli xcx May 1 (Street Team)</t>
  </si>
  <si>
    <t>Street Team</t>
  </si>
  <si>
    <t>2025-05-03</t>
  </si>
  <si>
    <t>Charli xcx May 3 (Street Team)</t>
  </si>
  <si>
    <t>2025-05-04</t>
  </si>
  <si>
    <t>Secret Film Night w/NYCFF</t>
  </si>
  <si>
    <t>Charli xcx May 4 (Street Team)</t>
  </si>
  <si>
    <t>2025-05-07</t>
  </si>
  <si>
    <t>SoHo Ribbon Cutting</t>
  </si>
  <si>
    <t>2025-05-08</t>
  </si>
  <si>
    <t xml:space="preserve">TTA + The Other Half Art Fair </t>
  </si>
  <si>
    <t>Airwaves @ Fifth May 8</t>
  </si>
  <si>
    <t xml:space="preserve">Rythm - Soho </t>
  </si>
  <si>
    <t>Austim Awareness community Event</t>
  </si>
  <si>
    <t>BAM: Live Music Thursday (Street Team)</t>
  </si>
  <si>
    <t>2025-05-09</t>
  </si>
  <si>
    <t>Mysha #MotherYourself 2025</t>
  </si>
  <si>
    <t xml:space="preserve">Rythm - Fifth Ave </t>
  </si>
  <si>
    <t>Liberty PreSeason (Sun @ Liberty 7pm) (Street Team)</t>
  </si>
  <si>
    <t>Her Highness TTA In-Store Activation- DTBK 5/9</t>
  </si>
  <si>
    <t>Her Highness</t>
  </si>
  <si>
    <t>2025-05-10</t>
  </si>
  <si>
    <t>FlowersforFlower: A floral pop up with Brooklyn Blooms</t>
  </si>
  <si>
    <t>USQ,DTBK,FIFTH,SOHO</t>
  </si>
  <si>
    <t>2025-05-11</t>
  </si>
  <si>
    <t>Weed Auntie Hemp Jumpsuit Launch</t>
  </si>
  <si>
    <t>2025-05-14</t>
  </si>
  <si>
    <t>Rythm - DTBK</t>
  </si>
  <si>
    <t>2025-05-15</t>
  </si>
  <si>
    <t>Good Neighbors of Park Slope (salesfloor tour)</t>
  </si>
  <si>
    <t>Airwaves @ Fifth May 15</t>
  </si>
  <si>
    <t>Rythm - USQ</t>
  </si>
  <si>
    <t>The Mother Code Launch Event @ The Center for Fiction</t>
  </si>
  <si>
    <t>Eaton Botanicals</t>
  </si>
  <si>
    <t>2025-05-17</t>
  </si>
  <si>
    <t>Liberty Season Opener (Aces @ Liberty 1pm) (Street Team)</t>
  </si>
  <si>
    <t>2025-05-21</t>
  </si>
  <si>
    <t>Pax TTA In-Store Activation- USQ</t>
  </si>
  <si>
    <t>Rythm</t>
  </si>
  <si>
    <t>2025-05-22</t>
  </si>
  <si>
    <t>Airwaves @ Fifth May 22</t>
  </si>
  <si>
    <t>Pax TTA In-Store Activation- DTBK</t>
  </si>
  <si>
    <t>2025-05-23</t>
  </si>
  <si>
    <t>Pax TTA In-Store Activation- Fifth Ave</t>
  </si>
  <si>
    <t>2025-05-24</t>
  </si>
  <si>
    <t>Dance Africa (Street Team)</t>
  </si>
  <si>
    <t>2025-05-27</t>
  </si>
  <si>
    <t>Liberty vs Valkyries @ 7pm (Street Team)</t>
  </si>
  <si>
    <t>2025-05-29</t>
  </si>
  <si>
    <t>Airwaves @ Fifth May 29</t>
  </si>
  <si>
    <t>2025-05-31</t>
  </si>
  <si>
    <t>Airways @ SoHo</t>
  </si>
  <si>
    <t>2025-06-01</t>
  </si>
  <si>
    <t>Liberty vs Sun @ 3pm (Street Team)</t>
  </si>
  <si>
    <t>2025-06-03</t>
  </si>
  <si>
    <t>Buds &amp; Blooms Jun 3 w. Fifth Ave Association</t>
  </si>
  <si>
    <t>Road to Relief:SoHo</t>
  </si>
  <si>
    <t>Papa &amp; Barkley</t>
  </si>
  <si>
    <t>Flamer &amp; Sasha Colby Meet &amp; Ki</t>
  </si>
  <si>
    <t>Flamer</t>
  </si>
  <si>
    <t>2025-06-08</t>
  </si>
  <si>
    <t>CANCELLED: Puerto Rican Parade with Rosa Reta (Fifth Ave)</t>
  </si>
  <si>
    <t>Rosa Reta</t>
  </si>
  <si>
    <t>2025-06-10</t>
  </si>
  <si>
    <t>Buds &amp; Blooms Jun 10 w. Fifth Ave Association</t>
  </si>
  <si>
    <t>Liberty vs Sky @ 8pm (Street Team)</t>
  </si>
  <si>
    <t>2025-06-12</t>
  </si>
  <si>
    <t>Road to Relief:USQ</t>
  </si>
  <si>
    <t>Ace Hotel Pride Influencer Dinner</t>
  </si>
  <si>
    <t>The Bettering Co</t>
  </si>
  <si>
    <t>2025-06-14</t>
  </si>
  <si>
    <t>Brooklyn Pride (Street Team)</t>
  </si>
  <si>
    <t>Buds &amp; Blooms Jun 14 w. Fifth Ave Association</t>
  </si>
  <si>
    <t>2025-06-15</t>
  </si>
  <si>
    <t>CANCELLED Buds &amp; Blooms Jun 15 w. Fifth Ave Association</t>
  </si>
  <si>
    <t>2025-06-17</t>
  </si>
  <si>
    <t>Buds &amp; Blooms Jun 17 w. Fifth Ave Association</t>
  </si>
  <si>
    <t>Liberty vs Dream @ 7pm (Street Team)</t>
  </si>
  <si>
    <t>Fireside Chat: Impactful Womxn NYC x TTA</t>
  </si>
  <si>
    <t>2025-06-19</t>
  </si>
  <si>
    <t>Road to Relief:FIFTH</t>
  </si>
  <si>
    <t>Liberty vs Mercury @ 7pm (Street Team)</t>
  </si>
  <si>
    <t>2025-06-21</t>
  </si>
  <si>
    <t>DECLINE - East Harlem Juneteenth Block Party (sponsorship)</t>
  </si>
  <si>
    <t>Stoner Pride</t>
  </si>
  <si>
    <t>Buds &amp; Blooms Jun 21 w. Fifth Ave Association</t>
  </si>
  <si>
    <t>2025-06-22</t>
  </si>
  <si>
    <t>Buds &amp; Blooms Jun 22 w. Fifth Ave Association</t>
  </si>
  <si>
    <t>2025-06-23</t>
  </si>
  <si>
    <t>Off the Strength podcast x TTA:Fab5 (USQ)</t>
  </si>
  <si>
    <t>B Noble</t>
  </si>
  <si>
    <t>2025-06-24</t>
  </si>
  <si>
    <t>Buds &amp; Blooms Jun 24 w. Fifth Ave Association</t>
  </si>
  <si>
    <t>2025-06-25</t>
  </si>
  <si>
    <t xml:space="preserve"> Off the Strength podcast x TTA:Arana (DTBK)</t>
  </si>
  <si>
    <t>The Travel Agency,Foy</t>
  </si>
  <si>
    <t>2025-06-26</t>
  </si>
  <si>
    <t>Road to Relief:BK</t>
  </si>
  <si>
    <t>2025-06-27</t>
  </si>
  <si>
    <t>In-flight Film w/Joseph Patel PLACEHOLDER</t>
  </si>
  <si>
    <t>2025-06-28</t>
  </si>
  <si>
    <t>Buds &amp; Blooms Jun 28 w. Fifth Ave Association</t>
  </si>
  <si>
    <t>2025-06-29</t>
  </si>
  <si>
    <t>NY Pride (Street Team)</t>
  </si>
  <si>
    <t>NYC Pride: FoodFest</t>
  </si>
  <si>
    <t>Buds &amp; Blooms Jun 29 w. Fifth Ave Association</t>
  </si>
  <si>
    <t>2025-07-03</t>
  </si>
  <si>
    <t>Liberty vs Sparks @ 7pm (Street Team)</t>
  </si>
  <si>
    <t>2025-07-16</t>
  </si>
  <si>
    <t>Liberty vs Fever @ 7:30pm (Street Team)</t>
  </si>
  <si>
    <t>2025-07-18</t>
  </si>
  <si>
    <t>Earlybirds Club</t>
  </si>
  <si>
    <t>2025-07-19</t>
  </si>
  <si>
    <t>The Queen's Quest: A Juice Box Romp</t>
  </si>
  <si>
    <t>2025-07-22</t>
  </si>
  <si>
    <t>Get Lost: SoHo VIP</t>
  </si>
  <si>
    <t>Get Lost: SoHo</t>
  </si>
  <si>
    <t>Liberty vs Fever GAME 2 @ 8pm (Street Team)</t>
  </si>
  <si>
    <t>2025-07-23</t>
  </si>
  <si>
    <t>Get Lost: USQ</t>
  </si>
  <si>
    <t>2025-07-24</t>
  </si>
  <si>
    <t>Get Lost: DTBK</t>
  </si>
  <si>
    <t>Rooftop Films x A24</t>
  </si>
  <si>
    <t>2025-07-25</t>
  </si>
  <si>
    <t>Get Lost: Fifth Ave</t>
  </si>
  <si>
    <t>2025-08-23</t>
  </si>
  <si>
    <t>Doll Invasion - Fire Island</t>
  </si>
  <si>
    <t>DTBK,FIFTH,USQ,SOHO</t>
  </si>
  <si>
    <t>Doll Invasion - In-Store</t>
  </si>
  <si>
    <t>Planet Brooklyn 2-day Music Festival</t>
  </si>
  <si>
    <t>Zenco</t>
  </si>
  <si>
    <t>Back to Cool x Cloud Bar DTBK</t>
  </si>
  <si>
    <t>2025-09-13</t>
  </si>
  <si>
    <t>CANCELLED Catbird + TTA Sip &amp; Style SOHO August</t>
  </si>
  <si>
    <t>2025-09-17</t>
  </si>
  <si>
    <t>FOGO de Chao tasting</t>
  </si>
  <si>
    <t>All-Star Karaoke @ Sapoara (Hosted by: Patrick L. Riley)</t>
  </si>
  <si>
    <t>2025-09-18</t>
  </si>
  <si>
    <t>Back to Cool x Cloud Bar SoHo</t>
  </si>
  <si>
    <t>2025-09-19</t>
  </si>
  <si>
    <t>Tray Tables Up Sept 19</t>
  </si>
  <si>
    <t>2025-09-20</t>
  </si>
  <si>
    <t>Puff &amp; Paint</t>
  </si>
  <si>
    <t>2025-09-23</t>
  </si>
  <si>
    <t>Marie Faustin's Birthday Party</t>
  </si>
  <si>
    <t>2025-09-25</t>
  </si>
  <si>
    <t>Back to Cool x Cloud Bar Fifth</t>
  </si>
  <si>
    <t>Fernway ,Wyld - GoodTyde,Butter</t>
  </si>
  <si>
    <t>2025-09-27</t>
  </si>
  <si>
    <t>All Things Go Festival Day #2</t>
  </si>
  <si>
    <t>2025-09-28</t>
  </si>
  <si>
    <t>All Things Go Festival Day #3</t>
  </si>
  <si>
    <t>New York Film Festival: Evidence Screening</t>
  </si>
  <si>
    <t>Ruby Farms Kingston Reserve LLC</t>
  </si>
  <si>
    <t>2025-09-30</t>
  </si>
  <si>
    <t>New York Film Festival:  Evidence, Hair Paper Water, Dracula Screenings</t>
  </si>
  <si>
    <t>2025-10-01</t>
  </si>
  <si>
    <t>New York Film Festival: Ecce Mole, Hair Paper Water, Drunken Noodles Screenings</t>
  </si>
  <si>
    <t>Ruby Farms Kingston Reserve LLC,MFNY</t>
  </si>
  <si>
    <t>2025-10-02</t>
  </si>
  <si>
    <t>New York Film Festival: Centerpiece After Party &amp; Mare's Nest Screening</t>
  </si>
  <si>
    <t>2025-10-04</t>
  </si>
  <si>
    <t>Earlybirds Club Oct</t>
  </si>
  <si>
    <t>Ithaca Organics Cannabis Co.</t>
  </si>
  <si>
    <t>Umamii</t>
  </si>
  <si>
    <t>2025-10-20</t>
  </si>
  <si>
    <t>BOYS CLUB Series Premiere</t>
  </si>
  <si>
    <t>2025-10-21</t>
  </si>
  <si>
    <t>Talib Kweli 50th Birthday Celebration</t>
  </si>
  <si>
    <t>Dada Exotics</t>
  </si>
  <si>
    <t>2025-10-26</t>
  </si>
  <si>
    <t>Witchcraft Faire</t>
  </si>
  <si>
    <t>Aeterna,Dada Exotics,Ravens View Genetics,Umamii</t>
  </si>
  <si>
    <t>2025-10-28</t>
  </si>
  <si>
    <t>Tray Tables Up Oct 28  The Kitchn.</t>
  </si>
  <si>
    <t>Ravens View Genetics</t>
  </si>
  <si>
    <t>Sessions 'Meet N Talk' Presents: The Pregame at the Ace DTBK</t>
  </si>
  <si>
    <t>2025-10-30</t>
  </si>
  <si>
    <t xml:space="preserve">Julio Torres Presents: "The Cursed Amulet" </t>
  </si>
  <si>
    <t>High-lloween</t>
  </si>
  <si>
    <t>2025-11-01</t>
  </si>
  <si>
    <t>The Halloweed Ball: Potion-A Feast Between Worlds</t>
  </si>
  <si>
    <t xml:space="preserve">UCBLK </t>
  </si>
  <si>
    <t>2025-11-06</t>
  </si>
  <si>
    <t>House of High: Opening Party</t>
  </si>
  <si>
    <t>Select,Turn,Find.,Grassroots</t>
  </si>
  <si>
    <t>Lower Eastside Girls Club’s Fall Fling</t>
  </si>
  <si>
    <t>House of High: A Cannabis Imaginarium</t>
  </si>
  <si>
    <t>Tray Tables Up Nov 7</t>
  </si>
  <si>
    <t>First Novel Friday Series: Center for Fiction</t>
  </si>
  <si>
    <t>Harney Brothers</t>
  </si>
  <si>
    <t>2025-11-09</t>
  </si>
  <si>
    <t>Big Apple Sports Classic</t>
  </si>
  <si>
    <t>Jeeter</t>
  </si>
  <si>
    <t>USQ,FIFTH,SOHO,DTBK</t>
  </si>
  <si>
    <t>2025-11-20</t>
  </si>
  <si>
    <t>BAM: Hanif Abduraqib’s I Guess it was my Destiny to Live (Nov 18—Nov 21, 2025)</t>
  </si>
  <si>
    <t>2025-11-22</t>
  </si>
  <si>
    <t>Veterans Day Panel (Heros &amp; Healing)</t>
  </si>
  <si>
    <t>Spacebuds</t>
  </si>
  <si>
    <t>2025-12-03</t>
  </si>
  <si>
    <t>2025 Rockefeller Center Christmas Tree - no event yet FIFTH</t>
  </si>
  <si>
    <t>2025-12-05</t>
  </si>
  <si>
    <t>Tray Tables Up Dec 5</t>
  </si>
  <si>
    <t>2025-12-06</t>
  </si>
  <si>
    <t>High for Holidays: cookie butter popcorn</t>
  </si>
  <si>
    <t>Butter</t>
  </si>
  <si>
    <t>2025-12-09</t>
  </si>
  <si>
    <t>Center for Fiction: Annual Awards Benefit</t>
  </si>
  <si>
    <t>BAM Member Bash December 9, 2025</t>
  </si>
  <si>
    <t>High for Holidays: spacepoppers demo</t>
  </si>
  <si>
    <t>2025-12-15</t>
  </si>
  <si>
    <t>Tray Tables Up Dec 15</t>
  </si>
  <si>
    <t>Artist Events: Andy Frasco (@andyfrasco) - Dec 30</t>
  </si>
  <si>
    <t>2026-01-13</t>
  </si>
  <si>
    <t>TrailBLAZER Awards: Employee Party</t>
  </si>
  <si>
    <t>2026-01-15</t>
  </si>
  <si>
    <t>Cali Sober Sips 2026: SoHo</t>
  </si>
  <si>
    <t>High Peaks</t>
  </si>
  <si>
    <t>BAM: What to Wear (Jan 15—Jan 16, 2026)</t>
  </si>
  <si>
    <t>2026-01-21</t>
  </si>
  <si>
    <t xml:space="preserve"> StayMelo Home Court Advantage (Knicks home game)</t>
  </si>
  <si>
    <t>STAYME7O</t>
  </si>
  <si>
    <t>2026-01-22</t>
  </si>
  <si>
    <t>Cali Sober Sips 2026: DTBK</t>
  </si>
  <si>
    <t>Beboe</t>
  </si>
  <si>
    <t>2026-01-27</t>
  </si>
  <si>
    <t xml:space="preserve"> StayMelo Home Court Advantage (Knicks home game) </t>
  </si>
  <si>
    <t>Edie Parker</t>
  </si>
  <si>
    <t>2026-01-30</t>
  </si>
  <si>
    <t>2026-02-01</t>
  </si>
  <si>
    <t>2026-02-10</t>
  </si>
  <si>
    <t>2026-02-11</t>
  </si>
  <si>
    <t>TRAY TABLES UP w. Nicole Johnson</t>
  </si>
  <si>
    <t>Camino</t>
  </si>
  <si>
    <t>2026-02-19</t>
  </si>
  <si>
    <t>2026-02-21</t>
  </si>
  <si>
    <t>TRAY TABLES UP w. Victoria Garcia</t>
  </si>
  <si>
    <t>Cannabis In Black NY Launch</t>
  </si>
  <si>
    <t>2026-03-01</t>
  </si>
  <si>
    <t>2026-03-04</t>
  </si>
  <si>
    <t>TRAY TABLES UP w. PureWow &amp; PopSugar  Deena Campbell, Pure Wow +  Jessica Andrews, PopSugar</t>
  </si>
  <si>
    <t>2026-03-06</t>
  </si>
  <si>
    <t>Fernway Fern20 - SOHO</t>
  </si>
  <si>
    <t xml:space="preserve">Fernway </t>
  </si>
  <si>
    <t>2026-03-13</t>
  </si>
  <si>
    <t>Fernway Fern20 DTBK</t>
  </si>
  <si>
    <t>2026-03-15</t>
  </si>
  <si>
    <t>2026-03-17</t>
  </si>
  <si>
    <t>2026-03-20</t>
  </si>
  <si>
    <t>Fernway Fern20 USQ</t>
  </si>
  <si>
    <t>2026-03-21</t>
  </si>
  <si>
    <t>Buds on the Move: Spring Equinox Walk (ft. FLAMER)</t>
  </si>
  <si>
    <t>2026-03-22</t>
  </si>
  <si>
    <t>Florette,Wyld - GoodTyde</t>
  </si>
  <si>
    <t>2026-03-26</t>
  </si>
  <si>
    <t>TRAY TABLES UP w. Kayla Greaves</t>
  </si>
  <si>
    <t>2026-03-27</t>
  </si>
  <si>
    <t>Fernway Fern20 Fifth</t>
  </si>
  <si>
    <t>2026-04-03</t>
  </si>
  <si>
    <t>2026-04-09</t>
  </si>
  <si>
    <t>2026-04-10</t>
  </si>
  <si>
    <t>2026-04-12</t>
  </si>
  <si>
    <t>2026-04-15</t>
  </si>
  <si>
    <t xml:space="preserve"> StayMelo ticket Drawing</t>
  </si>
  <si>
    <t>Select,Grassroots</t>
  </si>
  <si>
    <t>SOHO,USQ,DTBK,FIFTH</t>
  </si>
  <si>
    <t>2026-04-23</t>
  </si>
  <si>
    <t xml:space="preserve"> StayMelo Playoff Game Watch Party </t>
  </si>
  <si>
    <t>Food Demo #1 (instore)</t>
  </si>
  <si>
    <t>2026-05-09</t>
  </si>
  <si>
    <t>Cause Medic Mothers Day Event</t>
  </si>
  <si>
    <t>Cause Medic</t>
  </si>
  <si>
    <t>TRAY TABLES UP w. Simi</t>
  </si>
  <si>
    <t>30th Annual Webby Awards Show</t>
  </si>
  <si>
    <t>2026-05-14</t>
  </si>
  <si>
    <t xml:space="preserve">TRAY TABLES UP w. Adeola Ajala </t>
  </si>
  <si>
    <t>Open Book Club x TTA: A Night  — Anais Wine Bar</t>
  </si>
  <si>
    <t>2026-05-21</t>
  </si>
  <si>
    <t xml:space="preserve"> TRAY TABLES UP w. Robert (@robertcadizs)</t>
  </si>
  <si>
    <t>2026-05-24</t>
  </si>
  <si>
    <t>TRAY TABLES UP w. Louie (@okayhilouie) - BEING RESCHEDULED</t>
  </si>
  <si>
    <t>2026-05-28</t>
  </si>
  <si>
    <t>Food Demo #4 (instore)</t>
  </si>
  <si>
    <t>2026-05-29</t>
  </si>
  <si>
    <t xml:space="preserve">NEW FEST: Partnership  </t>
  </si>
  <si>
    <t>Bumping Uglies (Soho Music Event)</t>
  </si>
  <si>
    <t>Timeless</t>
  </si>
  <si>
    <t>2026-06-05</t>
  </si>
  <si>
    <t>TTU: Kelsey Armstrong (haricotvert)</t>
  </si>
  <si>
    <t>2026-06-06</t>
  </si>
  <si>
    <t>Bright Eyes Show Tabling (Contest Prize)</t>
  </si>
  <si>
    <t>Woodstock</t>
  </si>
  <si>
    <t>TRAY TABLES UP w. Litclub Founder, Kelly</t>
  </si>
  <si>
    <t>High Notes Live #1 — Fifth Ave</t>
  </si>
  <si>
    <t>The Bettering Co,Drew Martin,Flamer,Silly Nice</t>
  </si>
  <si>
    <t>2026-06-13</t>
  </si>
  <si>
    <t>FIFA-WorldCup (NY/NJ) Brazil vs Morocco</t>
  </si>
  <si>
    <t>Juneteeth Foy Training + Sampling</t>
  </si>
  <si>
    <t>Foy</t>
  </si>
  <si>
    <t>2026-06-16</t>
  </si>
  <si>
    <t>FIFA-WorldCup (NY/NJ) France vs Senegal</t>
  </si>
  <si>
    <t>FILMING INSTORE: Ethan Zohn x Fernway - High Times</t>
  </si>
  <si>
    <t>Airwaves Roots of Black Music Residency (Night 1)</t>
  </si>
  <si>
    <t>The Wing Coworking 2026 Reunion Sponsorship</t>
  </si>
  <si>
    <t>2026-06-17</t>
  </si>
  <si>
    <t>Buds on the Move x TTA x Florette: Summer Welcome Walk</t>
  </si>
  <si>
    <t>Florette</t>
  </si>
  <si>
    <t>Airwaves Roots of Black Music Residency Night 2</t>
  </si>
  <si>
    <t>2026-06-18</t>
  </si>
  <si>
    <t>Airwaves Roots of Black Music Residency Night 3</t>
  </si>
  <si>
    <t>2026-06-19</t>
  </si>
  <si>
    <t>Airwaves Roots of Black Music Residency Night 4</t>
  </si>
  <si>
    <t>2026-06-20</t>
  </si>
  <si>
    <t>Airwaves Roots of Black Music Residency Night 5</t>
  </si>
  <si>
    <t>2026-06-21</t>
  </si>
  <si>
    <t>Airwaves Roots of Black Music Residency Night 6</t>
  </si>
  <si>
    <t>2026-06-22</t>
  </si>
  <si>
    <t>FIFA-WorldCup (NY/NJ) Norway vs Senegal</t>
  </si>
  <si>
    <t>Budtender Incentive Timeless Game Mets vs Cubs</t>
  </si>
  <si>
    <t>2026-06-25</t>
  </si>
  <si>
    <t>FIFA-WorldCup (NY/NJ) Ecuador vs Germany</t>
  </si>
  <si>
    <t>In-Store PRE-STONED PRIDE</t>
  </si>
  <si>
    <t>2026-06-26</t>
  </si>
  <si>
    <t>Stoned Pride with Mistress and Willam</t>
  </si>
  <si>
    <t>FIFA-WorldCup (NY/NJ) Panama vs England</t>
  </si>
  <si>
    <t>Clear for Takeoff Returns with Whitfit (soho)</t>
  </si>
  <si>
    <t>High Notes Live #2 — USQ</t>
  </si>
  <si>
    <t>FIFA-WorldCup (NY/NJ) Round of 32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</si>
</sst>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;&quot;($&quot;#,##0\);\-"/>
  </numFmts>
  <fonts count="7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color rgb="FF9C2A00"/>
      <name val="Arial"/>
      <charset val="1"/>
    </font>
    <font>
      <sz val="10"/>
      <color rgb="FF595959"/>
      <name val="Arial"/>
      <charset val="1"/>
    </font>
    <font>
      <b/>
      <sz val="11"/>
      <color rgb="FF1F4E5F"/>
      <name val="Arial"/>
      <charset val="1"/>
    </font>
    <font>
      <sz val="11"/>
      <color rgb="FF262626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99"/>
      </patternFill>
    </fill>
    <fill>
      <patternFill patternType="solid">
        <fgColor rgb="FFFFF2B2"/>
        <bgColor rgb="FF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/>
    </xf>
    <xf numFmtId="9" fontId="2" fillId="3" borderId="1" xfId="0" applyNumberFormat="1" applyFont="1" applyFill="1" applyBorder="1" applyAlignment="1">
      <alignment vertical="top"/>
    </xf>
    <xf numFmtId="164" fontId="2" fillId="0" borderId="1" xfId="0" applyNumberFormat="1" applyFont="1" applyBorder="1" applyAlignment="1">
      <alignment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B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4E5F"/>
      <rgbColor rgb="FF339966"/>
      <rgbColor rgb="FF003300"/>
      <rgbColor rgb="FF333300"/>
      <rgbColor rgb="FF9C2A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"/>
  <sheetViews>
    <sheetView tabSelected="1" zoomScaleNormal="100" workbookViewId="0">
      <pane xSplit="2" ySplit="1" topLeftCell="C10" activePane="bottomRight" state="frozen"/>
      <selection pane="topRight" activeCell="C1" sqref="C1"/>
      <selection pane="bottomLeft" activeCell="A2" sqref="A2"/>
      <selection pane="bottomRight" activeCell="H18" sqref="H18"/>
    </sheetView>
  </sheetViews>
  <sheetFormatPr defaultColWidth="8.7109375" defaultRowHeight="15" x14ac:dyDescent="0.25"/>
  <cols>
    <col min="1" max="1" width="12" customWidth="1"/>
    <col min="2" max="2" width="34" customWidth="1"/>
    <col min="3" max="3" width="14" customWidth="1"/>
    <col min="4" max="4" width="11" customWidth="1"/>
    <col min="5" max="5" width="15" customWidth="1"/>
    <col min="6" max="6" width="11" customWidth="1"/>
    <col min="7" max="7" width="12" customWidth="1"/>
    <col min="8" max="8" width="34" customWidth="1"/>
    <col min="9" max="9" width="10" customWidth="1"/>
    <col min="10" max="11" width="20" customWidth="1"/>
    <col min="12" max="12" width="15" customWidth="1"/>
    <col min="13" max="13" width="11" customWidth="1"/>
    <col min="14" max="14" width="46" customWidth="1"/>
  </cols>
  <sheetData>
    <row r="1" spans="1:14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3" t="s">
        <v>15</v>
      </c>
      <c r="C2" s="2" t="s">
        <v>16</v>
      </c>
      <c r="D2" s="2">
        <v>68</v>
      </c>
      <c r="E2" s="2" t="s">
        <v>17</v>
      </c>
      <c r="F2" s="2">
        <v>68</v>
      </c>
      <c r="G2" s="2" t="s">
        <v>17</v>
      </c>
      <c r="H2" s="3" t="s">
        <v>18</v>
      </c>
      <c r="I2" s="2" t="s">
        <v>19</v>
      </c>
      <c r="J2" s="2" t="s">
        <v>20</v>
      </c>
      <c r="K2" s="2" t="s">
        <v>21</v>
      </c>
      <c r="L2" s="2" t="s">
        <v>22</v>
      </c>
      <c r="M2" s="2" t="str">
        <f t="shared" ref="M2:M32" si="0">IF(G2="","UNMAPPED",IF(L2="YES","EXCLUDE","INCLUDE"))</f>
        <v>EXCLUDE</v>
      </c>
      <c r="N2" s="3"/>
    </row>
    <row r="3" spans="1:14" ht="25.5" customHeight="1" x14ac:dyDescent="0.25">
      <c r="A3" s="2" t="s">
        <v>23</v>
      </c>
      <c r="B3" s="3" t="s">
        <v>24</v>
      </c>
      <c r="C3" s="2" t="s">
        <v>16</v>
      </c>
      <c r="D3" s="2">
        <v>178</v>
      </c>
      <c r="E3" s="2" t="s">
        <v>25</v>
      </c>
      <c r="F3" s="2">
        <v>31</v>
      </c>
      <c r="G3" s="2" t="s">
        <v>25</v>
      </c>
      <c r="H3" s="3" t="s">
        <v>26</v>
      </c>
      <c r="I3" s="2"/>
      <c r="J3" s="2"/>
      <c r="K3" s="2" t="s">
        <v>27</v>
      </c>
      <c r="L3" s="2" t="s">
        <v>28</v>
      </c>
      <c r="M3" s="2" t="str">
        <f t="shared" si="0"/>
        <v>INCLUDE</v>
      </c>
      <c r="N3" s="3"/>
    </row>
    <row r="4" spans="1:14" x14ac:dyDescent="0.25">
      <c r="A4" s="2" t="s">
        <v>29</v>
      </c>
      <c r="B4" s="3" t="s">
        <v>30</v>
      </c>
      <c r="C4" s="2" t="s">
        <v>31</v>
      </c>
      <c r="D4" s="2">
        <v>22</v>
      </c>
      <c r="E4" s="2" t="s">
        <v>32</v>
      </c>
      <c r="F4" s="2">
        <v>4</v>
      </c>
      <c r="G4" s="2" t="s">
        <v>31</v>
      </c>
      <c r="H4" s="3" t="s">
        <v>33</v>
      </c>
      <c r="I4" s="2" t="s">
        <v>34</v>
      </c>
      <c r="J4" s="2" t="s">
        <v>35</v>
      </c>
      <c r="K4" s="2" t="s">
        <v>27</v>
      </c>
      <c r="L4" s="2" t="s">
        <v>36</v>
      </c>
      <c r="M4" s="2" t="str">
        <f t="shared" si="0"/>
        <v>INCLUDE</v>
      </c>
      <c r="N4" s="3"/>
    </row>
    <row r="5" spans="1:14" ht="25.5" customHeight="1" x14ac:dyDescent="0.25">
      <c r="A5" s="2" t="s">
        <v>37</v>
      </c>
      <c r="B5" s="3" t="s">
        <v>38</v>
      </c>
      <c r="C5" s="2" t="s">
        <v>39</v>
      </c>
      <c r="D5" s="2">
        <v>227</v>
      </c>
      <c r="E5" s="2" t="s">
        <v>40</v>
      </c>
      <c r="F5" s="2">
        <v>10</v>
      </c>
      <c r="G5" s="2" t="s">
        <v>40</v>
      </c>
      <c r="H5" s="3" t="s">
        <v>41</v>
      </c>
      <c r="I5" s="2" t="s">
        <v>19</v>
      </c>
      <c r="J5" s="2" t="s">
        <v>20</v>
      </c>
      <c r="K5" s="2" t="s">
        <v>42</v>
      </c>
      <c r="L5" s="2" t="s">
        <v>28</v>
      </c>
      <c r="M5" s="2" t="str">
        <f t="shared" si="0"/>
        <v>INCLUDE</v>
      </c>
      <c r="N5" s="3"/>
    </row>
    <row r="6" spans="1:14" ht="25.5" customHeight="1" x14ac:dyDescent="0.25">
      <c r="A6" s="2" t="s">
        <v>43</v>
      </c>
      <c r="B6" s="3" t="s">
        <v>44</v>
      </c>
      <c r="C6" s="2" t="s">
        <v>45</v>
      </c>
      <c r="D6" s="2">
        <v>40</v>
      </c>
      <c r="E6" s="2" t="s">
        <v>46</v>
      </c>
      <c r="F6" s="2">
        <v>2</v>
      </c>
      <c r="G6" s="4" t="s">
        <v>47</v>
      </c>
      <c r="H6" s="5" t="s">
        <v>48</v>
      </c>
      <c r="I6" s="4" t="s">
        <v>49</v>
      </c>
      <c r="J6" s="4" t="s">
        <v>50</v>
      </c>
      <c r="K6" s="4" t="s">
        <v>27</v>
      </c>
      <c r="L6" s="4" t="s">
        <v>28</v>
      </c>
      <c r="M6" s="2" t="str">
        <f t="shared" si="0"/>
        <v>INCLUDE</v>
      </c>
      <c r="N6" s="3" t="s">
        <v>51</v>
      </c>
    </row>
    <row r="7" spans="1:14" x14ac:dyDescent="0.25">
      <c r="A7" s="2" t="s">
        <v>52</v>
      </c>
      <c r="B7" s="3" t="s">
        <v>53</v>
      </c>
      <c r="C7" s="2" t="s">
        <v>54</v>
      </c>
      <c r="D7" s="2">
        <v>2268</v>
      </c>
      <c r="E7" s="2" t="s">
        <v>55</v>
      </c>
      <c r="F7" s="2">
        <v>8</v>
      </c>
      <c r="G7" s="2" t="s">
        <v>55</v>
      </c>
      <c r="H7" s="3" t="s">
        <v>56</v>
      </c>
      <c r="I7" s="2" t="s">
        <v>49</v>
      </c>
      <c r="J7" s="2" t="s">
        <v>20</v>
      </c>
      <c r="K7" s="2" t="s">
        <v>57</v>
      </c>
      <c r="L7" s="2" t="s">
        <v>28</v>
      </c>
      <c r="M7" s="2" t="str">
        <f t="shared" si="0"/>
        <v>INCLUDE</v>
      </c>
      <c r="N7" s="3"/>
    </row>
    <row r="8" spans="1:14" x14ac:dyDescent="0.25">
      <c r="A8" s="2" t="s">
        <v>58</v>
      </c>
      <c r="B8" s="3" t="s">
        <v>59</v>
      </c>
      <c r="C8" s="2" t="s">
        <v>60</v>
      </c>
      <c r="D8" s="2">
        <v>12</v>
      </c>
      <c r="E8" s="2" t="s">
        <v>61</v>
      </c>
      <c r="F8" s="2">
        <v>7</v>
      </c>
      <c r="G8" s="2" t="s">
        <v>61</v>
      </c>
      <c r="H8" s="3" t="s">
        <v>62</v>
      </c>
      <c r="I8" s="2" t="s">
        <v>34</v>
      </c>
      <c r="J8" s="2" t="s">
        <v>35</v>
      </c>
      <c r="K8" s="2" t="s">
        <v>63</v>
      </c>
      <c r="L8" s="2" t="s">
        <v>28</v>
      </c>
      <c r="M8" s="2" t="str">
        <f t="shared" si="0"/>
        <v>INCLUDE</v>
      </c>
      <c r="N8" s="3"/>
    </row>
    <row r="9" spans="1:14" x14ac:dyDescent="0.25">
      <c r="A9" s="2" t="s">
        <v>64</v>
      </c>
      <c r="B9" s="3" t="s">
        <v>65</v>
      </c>
      <c r="C9" s="2" t="s">
        <v>60</v>
      </c>
      <c r="D9" s="2">
        <v>9</v>
      </c>
      <c r="E9" s="2" t="s">
        <v>66</v>
      </c>
      <c r="F9" s="2">
        <v>4</v>
      </c>
      <c r="G9" s="2" t="s">
        <v>66</v>
      </c>
      <c r="H9" s="3" t="s">
        <v>67</v>
      </c>
      <c r="I9" s="2" t="s">
        <v>68</v>
      </c>
      <c r="J9" s="2" t="s">
        <v>35</v>
      </c>
      <c r="K9" s="2" t="s">
        <v>63</v>
      </c>
      <c r="L9" s="2" t="s">
        <v>28</v>
      </c>
      <c r="M9" s="2" t="str">
        <f t="shared" si="0"/>
        <v>INCLUDE</v>
      </c>
      <c r="N9" s="3"/>
    </row>
    <row r="10" spans="1:14" x14ac:dyDescent="0.25">
      <c r="A10" s="2" t="s">
        <v>69</v>
      </c>
      <c r="B10" s="3" t="s">
        <v>70</v>
      </c>
      <c r="C10" s="2" t="s">
        <v>60</v>
      </c>
      <c r="D10" s="2">
        <v>19</v>
      </c>
      <c r="E10" s="2" t="s">
        <v>71</v>
      </c>
      <c r="F10" s="2">
        <v>12</v>
      </c>
      <c r="G10" s="2" t="s">
        <v>71</v>
      </c>
      <c r="H10" s="3" t="s">
        <v>72</v>
      </c>
      <c r="I10" s="2" t="s">
        <v>19</v>
      </c>
      <c r="J10" s="2" t="s">
        <v>35</v>
      </c>
      <c r="K10" s="2" t="s">
        <v>63</v>
      </c>
      <c r="L10" s="2" t="s">
        <v>28</v>
      </c>
      <c r="M10" s="2" t="str">
        <f t="shared" si="0"/>
        <v>INCLUDE</v>
      </c>
      <c r="N10" s="3"/>
    </row>
    <row r="11" spans="1:14" ht="25.5" customHeight="1" x14ac:dyDescent="0.25">
      <c r="A11" s="2" t="s">
        <v>73</v>
      </c>
      <c r="B11" s="3" t="s">
        <v>74</v>
      </c>
      <c r="C11" s="2" t="s">
        <v>60</v>
      </c>
      <c r="D11" s="2">
        <v>17</v>
      </c>
      <c r="E11" s="2" t="s">
        <v>75</v>
      </c>
      <c r="F11" s="2">
        <v>9</v>
      </c>
      <c r="G11" s="2" t="s">
        <v>75</v>
      </c>
      <c r="H11" s="3" t="s">
        <v>76</v>
      </c>
      <c r="I11" s="2" t="s">
        <v>77</v>
      </c>
      <c r="J11" s="2" t="s">
        <v>35</v>
      </c>
      <c r="K11" s="2" t="s">
        <v>63</v>
      </c>
      <c r="L11" s="2" t="s">
        <v>28</v>
      </c>
      <c r="M11" s="2" t="str">
        <f t="shared" si="0"/>
        <v>INCLUDE</v>
      </c>
      <c r="N11" s="3"/>
    </row>
    <row r="12" spans="1:14" ht="38.25" customHeight="1" x14ac:dyDescent="0.25">
      <c r="A12" s="2" t="s">
        <v>78</v>
      </c>
      <c r="B12" s="3" t="s">
        <v>79</v>
      </c>
      <c r="C12" s="2" t="s">
        <v>80</v>
      </c>
      <c r="D12" s="2">
        <v>103</v>
      </c>
      <c r="E12" s="2" t="s">
        <v>81</v>
      </c>
      <c r="F12" s="2">
        <v>11</v>
      </c>
      <c r="G12" s="4" t="s">
        <v>82</v>
      </c>
      <c r="H12" s="5" t="s">
        <v>83</v>
      </c>
      <c r="I12" s="4" t="s">
        <v>68</v>
      </c>
      <c r="J12" s="4" t="s">
        <v>35</v>
      </c>
      <c r="K12" s="4" t="s">
        <v>84</v>
      </c>
      <c r="L12" s="4" t="s">
        <v>28</v>
      </c>
      <c r="M12" s="2" t="str">
        <f t="shared" si="0"/>
        <v>INCLUDE</v>
      </c>
      <c r="N12" s="3" t="s">
        <v>85</v>
      </c>
    </row>
    <row r="13" spans="1:14" x14ac:dyDescent="0.25">
      <c r="A13" s="2" t="s">
        <v>86</v>
      </c>
      <c r="B13" s="3" t="s">
        <v>87</v>
      </c>
      <c r="C13" s="2" t="s">
        <v>88</v>
      </c>
      <c r="D13" s="2">
        <v>210</v>
      </c>
      <c r="E13" s="2" t="s">
        <v>89</v>
      </c>
      <c r="F13" s="2">
        <v>9</v>
      </c>
      <c r="G13" s="2" t="s">
        <v>89</v>
      </c>
      <c r="H13" s="3" t="s">
        <v>90</v>
      </c>
      <c r="I13" s="2" t="s">
        <v>68</v>
      </c>
      <c r="J13" s="2" t="s">
        <v>35</v>
      </c>
      <c r="K13" s="2" t="s">
        <v>91</v>
      </c>
      <c r="L13" s="2" t="s">
        <v>28</v>
      </c>
      <c r="M13" s="2" t="str">
        <f t="shared" si="0"/>
        <v>INCLUDE</v>
      </c>
      <c r="N13" s="3"/>
    </row>
    <row r="14" spans="1:14" ht="25.5" customHeight="1" x14ac:dyDescent="0.25">
      <c r="A14" s="2" t="s">
        <v>92</v>
      </c>
      <c r="B14" s="3" t="s">
        <v>93</v>
      </c>
      <c r="C14" s="2" t="s">
        <v>94</v>
      </c>
      <c r="D14" s="2">
        <v>325</v>
      </c>
      <c r="E14" s="2" t="s">
        <v>95</v>
      </c>
      <c r="F14" s="2">
        <v>9</v>
      </c>
      <c r="G14" s="2" t="s">
        <v>95</v>
      </c>
      <c r="H14" s="3" t="s">
        <v>96</v>
      </c>
      <c r="I14" s="2" t="s">
        <v>77</v>
      </c>
      <c r="J14" s="2" t="s">
        <v>35</v>
      </c>
      <c r="K14" s="2" t="s">
        <v>97</v>
      </c>
      <c r="L14" s="2" t="s">
        <v>28</v>
      </c>
      <c r="M14" s="2" t="str">
        <f t="shared" si="0"/>
        <v>INCLUDE</v>
      </c>
      <c r="N14" s="3"/>
    </row>
    <row r="15" spans="1:14" x14ac:dyDescent="0.25">
      <c r="A15" s="2" t="s">
        <v>98</v>
      </c>
      <c r="B15" s="3" t="s">
        <v>99</v>
      </c>
      <c r="C15" s="2" t="s">
        <v>100</v>
      </c>
      <c r="D15" s="2">
        <v>447</v>
      </c>
      <c r="E15" s="2" t="s">
        <v>95</v>
      </c>
      <c r="F15" s="2">
        <v>14</v>
      </c>
      <c r="G15" s="2" t="s">
        <v>95</v>
      </c>
      <c r="H15" s="3" t="s">
        <v>96</v>
      </c>
      <c r="I15" s="2" t="s">
        <v>77</v>
      </c>
      <c r="J15" s="2" t="s">
        <v>35</v>
      </c>
      <c r="K15" s="2" t="s">
        <v>97</v>
      </c>
      <c r="L15" s="2" t="s">
        <v>28</v>
      </c>
      <c r="M15" s="2" t="str">
        <f t="shared" si="0"/>
        <v>INCLUDE</v>
      </c>
      <c r="N15" s="3"/>
    </row>
    <row r="16" spans="1:14" ht="25.5" customHeight="1" x14ac:dyDescent="0.25">
      <c r="A16" s="2" t="s">
        <v>101</v>
      </c>
      <c r="B16" s="3" t="s">
        <v>102</v>
      </c>
      <c r="C16" s="2" t="s">
        <v>103</v>
      </c>
      <c r="D16" s="2">
        <v>35</v>
      </c>
      <c r="E16" s="2" t="s">
        <v>104</v>
      </c>
      <c r="F16" s="2">
        <v>2</v>
      </c>
      <c r="G16" s="4" t="s">
        <v>105</v>
      </c>
      <c r="H16" s="5" t="s">
        <v>106</v>
      </c>
      <c r="I16" s="4" t="s">
        <v>107</v>
      </c>
      <c r="J16" s="4" t="s">
        <v>20</v>
      </c>
      <c r="K16" s="4" t="s">
        <v>27</v>
      </c>
      <c r="L16" s="4" t="s">
        <v>28</v>
      </c>
      <c r="M16" s="2" t="str">
        <f t="shared" si="0"/>
        <v>INCLUDE</v>
      </c>
      <c r="N16" s="3" t="s">
        <v>108</v>
      </c>
    </row>
    <row r="17" spans="1:14" ht="25.5" customHeight="1" x14ac:dyDescent="0.25">
      <c r="A17" s="2" t="s">
        <v>109</v>
      </c>
      <c r="B17" s="3" t="s">
        <v>110</v>
      </c>
      <c r="C17" s="2" t="s">
        <v>111</v>
      </c>
      <c r="D17" s="2">
        <v>113</v>
      </c>
      <c r="E17" s="2" t="s">
        <v>112</v>
      </c>
      <c r="F17" s="2">
        <v>16</v>
      </c>
      <c r="G17" s="2" t="s">
        <v>112</v>
      </c>
      <c r="H17" s="3" t="s">
        <v>113</v>
      </c>
      <c r="I17" s="2" t="s">
        <v>68</v>
      </c>
      <c r="J17" s="2" t="s">
        <v>35</v>
      </c>
      <c r="K17" s="2" t="s">
        <v>114</v>
      </c>
      <c r="L17" s="2" t="s">
        <v>28</v>
      </c>
      <c r="M17" s="2" t="str">
        <f t="shared" si="0"/>
        <v>INCLUDE</v>
      </c>
      <c r="N17" s="3"/>
    </row>
    <row r="18" spans="1:14" ht="25.5" customHeight="1" x14ac:dyDescent="0.25">
      <c r="A18" s="2" t="s">
        <v>115</v>
      </c>
      <c r="B18" s="3" t="s">
        <v>116</v>
      </c>
      <c r="C18" s="2" t="s">
        <v>117</v>
      </c>
      <c r="D18" s="2">
        <v>25</v>
      </c>
      <c r="E18" s="2" t="s">
        <v>118</v>
      </c>
      <c r="F18" s="2">
        <v>1</v>
      </c>
      <c r="G18" s="4" t="s">
        <v>117</v>
      </c>
      <c r="H18" s="5" t="s">
        <v>119</v>
      </c>
      <c r="I18" s="4" t="s">
        <v>107</v>
      </c>
      <c r="J18" s="4" t="s">
        <v>35</v>
      </c>
      <c r="K18" s="4" t="s">
        <v>120</v>
      </c>
      <c r="L18" s="4" t="s">
        <v>28</v>
      </c>
      <c r="M18" s="2" t="str">
        <f t="shared" si="0"/>
        <v>INCLUDE</v>
      </c>
      <c r="N18" s="3" t="s">
        <v>121</v>
      </c>
    </row>
    <row r="19" spans="1:14" x14ac:dyDescent="0.25">
      <c r="A19" s="2" t="s">
        <v>122</v>
      </c>
      <c r="B19" s="3" t="s">
        <v>123</v>
      </c>
      <c r="C19" s="2" t="s">
        <v>124</v>
      </c>
      <c r="D19" s="2">
        <v>80</v>
      </c>
      <c r="E19" s="2" t="s">
        <v>125</v>
      </c>
      <c r="F19" s="2">
        <v>18</v>
      </c>
      <c r="G19" s="2" t="s">
        <v>125</v>
      </c>
      <c r="H19" s="3" t="s">
        <v>126</v>
      </c>
      <c r="I19" s="2" t="s">
        <v>68</v>
      </c>
      <c r="J19" s="2" t="s">
        <v>35</v>
      </c>
      <c r="K19" s="2" t="s">
        <v>120</v>
      </c>
      <c r="L19" s="2" t="s">
        <v>28</v>
      </c>
      <c r="M19" s="2" t="str">
        <f t="shared" si="0"/>
        <v>INCLUDE</v>
      </c>
      <c r="N19" s="3"/>
    </row>
    <row r="20" spans="1:14" x14ac:dyDescent="0.25">
      <c r="A20" s="2" t="s">
        <v>127</v>
      </c>
      <c r="B20" s="3" t="s">
        <v>128</v>
      </c>
      <c r="C20" s="2" t="s">
        <v>129</v>
      </c>
      <c r="D20" s="2">
        <v>706</v>
      </c>
      <c r="E20" s="2" t="s">
        <v>125</v>
      </c>
      <c r="F20" s="2">
        <v>41</v>
      </c>
      <c r="G20" s="2" t="s">
        <v>125</v>
      </c>
      <c r="H20" s="3" t="s">
        <v>126</v>
      </c>
      <c r="I20" s="2" t="s">
        <v>68</v>
      </c>
      <c r="J20" s="2" t="s">
        <v>35</v>
      </c>
      <c r="K20" s="2" t="s">
        <v>120</v>
      </c>
      <c r="L20" s="2" t="s">
        <v>28</v>
      </c>
      <c r="M20" s="2" t="str">
        <f t="shared" si="0"/>
        <v>INCLUDE</v>
      </c>
      <c r="N20" s="3"/>
    </row>
    <row r="21" spans="1:14" ht="25.5" customHeight="1" x14ac:dyDescent="0.25">
      <c r="A21" s="2" t="s">
        <v>130</v>
      </c>
      <c r="B21" s="3" t="s">
        <v>131</v>
      </c>
      <c r="C21" s="2" t="s">
        <v>132</v>
      </c>
      <c r="D21" s="2">
        <v>50</v>
      </c>
      <c r="E21" s="2" t="s">
        <v>133</v>
      </c>
      <c r="F21" s="2">
        <v>1</v>
      </c>
      <c r="G21" s="4"/>
      <c r="H21" s="5"/>
      <c r="I21" s="4"/>
      <c r="J21" s="4"/>
      <c r="K21" s="4"/>
      <c r="L21" s="4"/>
      <c r="M21" s="2" t="str">
        <f t="shared" si="0"/>
        <v>UNMAPPED</v>
      </c>
      <c r="N21" s="3" t="s">
        <v>134</v>
      </c>
    </row>
    <row r="22" spans="1:14" ht="25.5" customHeight="1" x14ac:dyDescent="0.25">
      <c r="A22" s="2" t="s">
        <v>135</v>
      </c>
      <c r="B22" s="3" t="s">
        <v>136</v>
      </c>
      <c r="C22" s="2" t="s">
        <v>137</v>
      </c>
      <c r="D22" s="2">
        <v>179</v>
      </c>
      <c r="E22" s="2" t="s">
        <v>31</v>
      </c>
      <c r="F22" s="2">
        <v>11</v>
      </c>
      <c r="G22" s="4" t="s">
        <v>31</v>
      </c>
      <c r="H22" s="5" t="s">
        <v>138</v>
      </c>
      <c r="I22" s="4" t="s">
        <v>107</v>
      </c>
      <c r="J22" s="4" t="s">
        <v>35</v>
      </c>
      <c r="K22" s="4" t="s">
        <v>27</v>
      </c>
      <c r="L22" s="4" t="s">
        <v>28</v>
      </c>
      <c r="M22" s="2" t="str">
        <f t="shared" si="0"/>
        <v>INCLUDE</v>
      </c>
      <c r="N22" s="3" t="s">
        <v>139</v>
      </c>
    </row>
    <row r="23" spans="1:14" ht="25.5" customHeight="1" x14ac:dyDescent="0.25">
      <c r="A23" s="2" t="s">
        <v>140</v>
      </c>
      <c r="B23" s="3" t="s">
        <v>141</v>
      </c>
      <c r="C23" s="2" t="s">
        <v>137</v>
      </c>
      <c r="D23" s="2">
        <v>104</v>
      </c>
      <c r="E23" s="2" t="s">
        <v>142</v>
      </c>
      <c r="F23" s="2">
        <v>3</v>
      </c>
      <c r="G23" s="4"/>
      <c r="H23" s="5"/>
      <c r="I23" s="4"/>
      <c r="J23" s="4"/>
      <c r="K23" s="4"/>
      <c r="L23" s="4"/>
      <c r="M23" s="2" t="str">
        <f t="shared" si="0"/>
        <v>UNMAPPED</v>
      </c>
      <c r="N23" s="3" t="s">
        <v>143</v>
      </c>
    </row>
    <row r="24" spans="1:14" ht="25.5" customHeight="1" x14ac:dyDescent="0.25">
      <c r="A24" s="2" t="s">
        <v>144</v>
      </c>
      <c r="B24" s="3" t="s">
        <v>145</v>
      </c>
      <c r="C24" s="2" t="s">
        <v>146</v>
      </c>
      <c r="D24" s="2">
        <v>30</v>
      </c>
      <c r="E24" s="2" t="s">
        <v>147</v>
      </c>
      <c r="F24" s="2">
        <v>1</v>
      </c>
      <c r="G24" s="4" t="s">
        <v>148</v>
      </c>
      <c r="H24" s="5" t="s">
        <v>149</v>
      </c>
      <c r="I24" s="4" t="s">
        <v>49</v>
      </c>
      <c r="J24" s="4" t="s">
        <v>50</v>
      </c>
      <c r="K24" s="4" t="s">
        <v>114</v>
      </c>
      <c r="L24" s="4" t="s">
        <v>28</v>
      </c>
      <c r="M24" s="2" t="str">
        <f t="shared" si="0"/>
        <v>INCLUDE</v>
      </c>
      <c r="N24" s="3" t="s">
        <v>150</v>
      </c>
    </row>
    <row r="25" spans="1:14" ht="25.5" customHeight="1" x14ac:dyDescent="0.25">
      <c r="A25" s="2" t="s">
        <v>151</v>
      </c>
      <c r="B25" s="3" t="s">
        <v>152</v>
      </c>
      <c r="C25" s="2" t="s">
        <v>153</v>
      </c>
      <c r="D25" s="2">
        <v>20</v>
      </c>
      <c r="E25" s="2" t="s">
        <v>154</v>
      </c>
      <c r="F25" s="2">
        <v>3</v>
      </c>
      <c r="G25" s="4"/>
      <c r="H25" s="5"/>
      <c r="I25" s="4"/>
      <c r="J25" s="4"/>
      <c r="K25" s="4"/>
      <c r="L25" s="4"/>
      <c r="M25" s="2" t="str">
        <f t="shared" si="0"/>
        <v>UNMAPPED</v>
      </c>
      <c r="N25" s="3" t="s">
        <v>155</v>
      </c>
    </row>
    <row r="26" spans="1:14" ht="25.5" customHeight="1" x14ac:dyDescent="0.25">
      <c r="A26" s="2" t="s">
        <v>156</v>
      </c>
      <c r="B26" s="3" t="s">
        <v>157</v>
      </c>
      <c r="C26" s="2" t="s">
        <v>158</v>
      </c>
      <c r="D26" s="2">
        <v>90</v>
      </c>
      <c r="E26" s="2" t="s">
        <v>133</v>
      </c>
      <c r="F26" s="2">
        <v>1</v>
      </c>
      <c r="G26" s="4" t="s">
        <v>158</v>
      </c>
      <c r="H26" s="5" t="s">
        <v>159</v>
      </c>
      <c r="I26" s="4" t="s">
        <v>49</v>
      </c>
      <c r="J26" s="4" t="s">
        <v>20</v>
      </c>
      <c r="K26" s="4" t="s">
        <v>160</v>
      </c>
      <c r="L26" s="4" t="s">
        <v>28</v>
      </c>
      <c r="M26" s="2" t="str">
        <f t="shared" si="0"/>
        <v>INCLUDE</v>
      </c>
      <c r="N26" s="3" t="s">
        <v>161</v>
      </c>
    </row>
    <row r="27" spans="1:14" x14ac:dyDescent="0.25">
      <c r="A27" s="2" t="s">
        <v>162</v>
      </c>
      <c r="B27" s="3" t="s">
        <v>163</v>
      </c>
      <c r="C27" s="2" t="s">
        <v>164</v>
      </c>
      <c r="D27" s="2">
        <v>82</v>
      </c>
      <c r="E27" s="2" t="s">
        <v>165</v>
      </c>
      <c r="F27" s="2">
        <v>4</v>
      </c>
      <c r="G27" s="2" t="s">
        <v>166</v>
      </c>
      <c r="H27" s="3" t="s">
        <v>167</v>
      </c>
      <c r="I27" s="2" t="s">
        <v>68</v>
      </c>
      <c r="J27" s="2" t="s">
        <v>35</v>
      </c>
      <c r="K27" s="2" t="s">
        <v>168</v>
      </c>
      <c r="L27" s="2" t="s">
        <v>28</v>
      </c>
      <c r="M27" s="2" t="str">
        <f t="shared" si="0"/>
        <v>INCLUDE</v>
      </c>
      <c r="N27" s="3"/>
    </row>
    <row r="28" spans="1:14" ht="25.5" customHeight="1" x14ac:dyDescent="0.25">
      <c r="A28" s="2" t="s">
        <v>169</v>
      </c>
      <c r="B28" s="3" t="s">
        <v>170</v>
      </c>
      <c r="C28" s="2" t="s">
        <v>164</v>
      </c>
      <c r="D28" s="2">
        <v>13</v>
      </c>
      <c r="E28" s="2" t="s">
        <v>171</v>
      </c>
      <c r="F28" s="2">
        <v>5</v>
      </c>
      <c r="G28" s="2" t="s">
        <v>172</v>
      </c>
      <c r="H28" s="3" t="s">
        <v>173</v>
      </c>
      <c r="I28" s="2" t="s">
        <v>49</v>
      </c>
      <c r="J28" s="2" t="s">
        <v>174</v>
      </c>
      <c r="K28" s="2" t="s">
        <v>27</v>
      </c>
      <c r="L28" s="2" t="s">
        <v>28</v>
      </c>
      <c r="M28" s="2" t="str">
        <f t="shared" si="0"/>
        <v>INCLUDE</v>
      </c>
      <c r="N28" s="3"/>
    </row>
    <row r="29" spans="1:14" x14ac:dyDescent="0.25">
      <c r="A29" s="2" t="s">
        <v>175</v>
      </c>
      <c r="B29" s="3" t="s">
        <v>176</v>
      </c>
      <c r="C29" s="2" t="s">
        <v>177</v>
      </c>
      <c r="D29" s="2">
        <v>142</v>
      </c>
      <c r="E29" s="2" t="s">
        <v>178</v>
      </c>
      <c r="F29" s="2">
        <v>4</v>
      </c>
      <c r="G29" s="2" t="s">
        <v>179</v>
      </c>
      <c r="H29" s="3" t="s">
        <v>180</v>
      </c>
      <c r="I29" s="2" t="s">
        <v>34</v>
      </c>
      <c r="J29" s="2" t="s">
        <v>35</v>
      </c>
      <c r="K29" s="2" t="s">
        <v>168</v>
      </c>
      <c r="L29" s="2" t="s">
        <v>28</v>
      </c>
      <c r="M29" s="2" t="str">
        <f t="shared" si="0"/>
        <v>INCLUDE</v>
      </c>
      <c r="N29" s="3"/>
    </row>
    <row r="30" spans="1:14" x14ac:dyDescent="0.25">
      <c r="A30" s="2" t="s">
        <v>181</v>
      </c>
      <c r="B30" s="3" t="s">
        <v>182</v>
      </c>
      <c r="C30" s="2" t="s">
        <v>177</v>
      </c>
      <c r="D30" s="2">
        <v>23</v>
      </c>
      <c r="E30" s="2" t="s">
        <v>183</v>
      </c>
      <c r="F30" s="2">
        <v>2</v>
      </c>
      <c r="G30" s="2" t="s">
        <v>183</v>
      </c>
      <c r="H30" s="3" t="s">
        <v>184</v>
      </c>
      <c r="I30" s="2" t="s">
        <v>68</v>
      </c>
      <c r="J30" s="2" t="s">
        <v>35</v>
      </c>
      <c r="K30" s="2" t="s">
        <v>185</v>
      </c>
      <c r="L30" s="2" t="s">
        <v>28</v>
      </c>
      <c r="M30" s="2" t="str">
        <f t="shared" si="0"/>
        <v>INCLUDE</v>
      </c>
      <c r="N30" s="3"/>
    </row>
    <row r="31" spans="1:14" ht="25.5" customHeight="1" x14ac:dyDescent="0.25">
      <c r="A31" s="2" t="s">
        <v>186</v>
      </c>
      <c r="B31" s="3" t="s">
        <v>187</v>
      </c>
      <c r="C31" s="2" t="s">
        <v>188</v>
      </c>
      <c r="D31" s="2">
        <v>17</v>
      </c>
      <c r="E31" s="2" t="s">
        <v>183</v>
      </c>
      <c r="F31" s="2">
        <v>2</v>
      </c>
      <c r="G31" s="2" t="s">
        <v>183</v>
      </c>
      <c r="H31" s="3" t="s">
        <v>184</v>
      </c>
      <c r="I31" s="2" t="s">
        <v>68</v>
      </c>
      <c r="J31" s="2" t="s">
        <v>35</v>
      </c>
      <c r="K31" s="2" t="s">
        <v>185</v>
      </c>
      <c r="L31" s="2" t="s">
        <v>28</v>
      </c>
      <c r="M31" s="2" t="str">
        <f t="shared" si="0"/>
        <v>INCLUDE</v>
      </c>
      <c r="N31" s="3"/>
    </row>
    <row r="32" spans="1:14" ht="25.5" customHeight="1" x14ac:dyDescent="0.25">
      <c r="A32" s="2" t="s">
        <v>189</v>
      </c>
      <c r="B32" s="3" t="s">
        <v>190</v>
      </c>
      <c r="C32" s="2" t="s">
        <v>191</v>
      </c>
      <c r="D32" s="2">
        <v>39</v>
      </c>
      <c r="E32" s="2" t="s">
        <v>146</v>
      </c>
      <c r="F32" s="2">
        <v>8</v>
      </c>
      <c r="G32" s="4"/>
      <c r="H32" s="5"/>
      <c r="I32" s="4"/>
      <c r="J32" s="4"/>
      <c r="K32" s="4"/>
      <c r="L32" s="4"/>
      <c r="M32" s="2" t="str">
        <f t="shared" si="0"/>
        <v>UNMAPPED</v>
      </c>
      <c r="N32" s="3" t="s">
        <v>192</v>
      </c>
    </row>
  </sheetData>
  <dataValidations count="3">
    <dataValidation type="list" allowBlank="1" sqref="L2:L32" xr:uid="{00000000-0002-0000-0000-000000000000}">
      <formula1>"YES,NO,REVIEW"</formula1>
      <formula2>0</formula2>
    </dataValidation>
    <dataValidation type="list" allowBlank="1" sqref="I2:I32" xr:uid="{00000000-0002-0000-0000-000001000000}">
      <formula1>"DTBK,SOHO,USQ,FIFTH,Not In Store,Multi"</formula1>
      <formula2>0</formula2>
    </dataValidation>
    <dataValidation type="list" allowBlank="1" sqref="J2:J32" xr:uid="{00000000-0002-0000-0000-000002000000}">
      <formula1>"In-Store Activation,TTA Brand Event,Community Programming,Street Team,Loyalty"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32" customWidth="1"/>
    <col min="2" max="2" width="13" customWidth="1"/>
    <col min="3" max="3" width="15" customWidth="1"/>
    <col min="4" max="4" width="16" customWidth="1"/>
    <col min="5" max="5" width="13" customWidth="1"/>
    <col min="6" max="6" width="17" customWidth="1"/>
    <col min="7" max="7" width="13" customWidth="1"/>
    <col min="8" max="8" width="16" customWidth="1"/>
    <col min="9" max="9" width="58" customWidth="1"/>
  </cols>
  <sheetData>
    <row r="1" spans="1:9" ht="30" customHeight="1" x14ac:dyDescent="0.25">
      <c r="A1" s="1" t="s">
        <v>10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13</v>
      </c>
    </row>
    <row r="2" spans="1:9" ht="25.5" customHeight="1" x14ac:dyDescent="0.25">
      <c r="A2" s="2" t="s">
        <v>97</v>
      </c>
      <c r="B2" s="6">
        <v>15000</v>
      </c>
      <c r="C2" s="6">
        <v>16000</v>
      </c>
      <c r="D2" s="7">
        <v>0.2</v>
      </c>
      <c r="E2" s="6">
        <v>3000</v>
      </c>
      <c r="F2" s="4"/>
      <c r="G2" s="8" t="str">
        <f t="shared" ref="G2:G21" si="0">IF(F2="","",IFERROR(IF(F2=2026,C2,B2),0)+IFERROR(E2,0))</f>
        <v/>
      </c>
      <c r="H2" s="8" t="str">
        <f t="shared" ref="H2:H21" si="1">IFERROR(G2*(1-IFERROR(D2,0)),"")</f>
        <v/>
      </c>
      <c r="I2" s="3" t="s">
        <v>200</v>
      </c>
    </row>
    <row r="3" spans="1:9" x14ac:dyDescent="0.25">
      <c r="A3" s="2" t="s">
        <v>201</v>
      </c>
      <c r="B3" s="6">
        <v>35000</v>
      </c>
      <c r="C3" s="6">
        <v>0</v>
      </c>
      <c r="D3" s="7">
        <v>0.5</v>
      </c>
      <c r="E3" s="6">
        <v>0</v>
      </c>
      <c r="F3" s="4"/>
      <c r="G3" s="8" t="str">
        <f t="shared" si="0"/>
        <v/>
      </c>
      <c r="H3" s="8" t="str">
        <f t="shared" si="1"/>
        <v/>
      </c>
      <c r="I3" s="3" t="s">
        <v>202</v>
      </c>
    </row>
    <row r="4" spans="1:9" x14ac:dyDescent="0.25">
      <c r="A4" s="2" t="s">
        <v>120</v>
      </c>
      <c r="B4" s="6">
        <v>116000</v>
      </c>
      <c r="C4" s="6">
        <v>11000</v>
      </c>
      <c r="D4" s="7">
        <v>0.5</v>
      </c>
      <c r="E4" s="6">
        <v>30500</v>
      </c>
      <c r="F4" s="4"/>
      <c r="G4" s="8" t="str">
        <f t="shared" si="0"/>
        <v/>
      </c>
      <c r="H4" s="8" t="str">
        <f t="shared" si="1"/>
        <v/>
      </c>
      <c r="I4" s="3" t="s">
        <v>203</v>
      </c>
    </row>
    <row r="5" spans="1:9" ht="38.25" customHeight="1" x14ac:dyDescent="0.25">
      <c r="A5" s="2" t="s">
        <v>21</v>
      </c>
      <c r="B5" s="6">
        <v>34000</v>
      </c>
      <c r="C5" s="6">
        <v>10000</v>
      </c>
      <c r="D5" s="7">
        <v>0.2</v>
      </c>
      <c r="E5" s="6">
        <v>2500</v>
      </c>
      <c r="F5" s="4"/>
      <c r="G5" s="8" t="str">
        <f t="shared" si="0"/>
        <v/>
      </c>
      <c r="H5" s="8" t="str">
        <f t="shared" si="1"/>
        <v/>
      </c>
      <c r="I5" s="3" t="s">
        <v>204</v>
      </c>
    </row>
    <row r="6" spans="1:9" x14ac:dyDescent="0.25">
      <c r="A6" s="2" t="s">
        <v>205</v>
      </c>
      <c r="B6" s="6">
        <v>79000</v>
      </c>
      <c r="C6" s="6">
        <v>12000</v>
      </c>
      <c r="D6" s="7">
        <v>0.5</v>
      </c>
      <c r="E6" s="6">
        <v>0</v>
      </c>
      <c r="F6" s="4"/>
      <c r="G6" s="8" t="str">
        <f t="shared" si="0"/>
        <v/>
      </c>
      <c r="H6" s="8" t="str">
        <f t="shared" si="1"/>
        <v/>
      </c>
      <c r="I6" s="3" t="s">
        <v>206</v>
      </c>
    </row>
    <row r="7" spans="1:9" x14ac:dyDescent="0.25">
      <c r="A7" s="2" t="s">
        <v>207</v>
      </c>
      <c r="B7" s="6">
        <v>83000</v>
      </c>
      <c r="C7" s="6">
        <v>117000</v>
      </c>
      <c r="D7" s="7">
        <v>0.5</v>
      </c>
      <c r="E7" s="6">
        <v>0</v>
      </c>
      <c r="F7" s="4"/>
      <c r="G7" s="8" t="str">
        <f t="shared" si="0"/>
        <v/>
      </c>
      <c r="H7" s="8" t="str">
        <f t="shared" si="1"/>
        <v/>
      </c>
      <c r="I7" s="3" t="s">
        <v>208</v>
      </c>
    </row>
    <row r="8" spans="1:9" x14ac:dyDescent="0.25">
      <c r="A8" s="2" t="s">
        <v>209</v>
      </c>
      <c r="B8" s="6">
        <v>57000</v>
      </c>
      <c r="C8" s="6">
        <v>0</v>
      </c>
      <c r="D8" s="7">
        <v>0</v>
      </c>
      <c r="E8" s="6">
        <v>28000</v>
      </c>
      <c r="F8" s="4"/>
      <c r="G8" s="8" t="str">
        <f t="shared" si="0"/>
        <v/>
      </c>
      <c r="H8" s="8" t="str">
        <f t="shared" si="1"/>
        <v/>
      </c>
      <c r="I8" s="3" t="s">
        <v>208</v>
      </c>
    </row>
    <row r="9" spans="1:9" x14ac:dyDescent="0.25">
      <c r="A9" s="2" t="s">
        <v>57</v>
      </c>
      <c r="B9" s="6">
        <v>55000</v>
      </c>
      <c r="C9" s="6">
        <v>0</v>
      </c>
      <c r="D9" s="7">
        <v>0</v>
      </c>
      <c r="E9" s="6">
        <v>33000</v>
      </c>
      <c r="F9" s="4"/>
      <c r="G9" s="8" t="str">
        <f t="shared" si="0"/>
        <v/>
      </c>
      <c r="H9" s="8" t="str">
        <f t="shared" si="1"/>
        <v/>
      </c>
      <c r="I9" s="3" t="s">
        <v>208</v>
      </c>
    </row>
    <row r="10" spans="1:9" x14ac:dyDescent="0.25">
      <c r="A10" s="2" t="s">
        <v>210</v>
      </c>
      <c r="B10" s="6">
        <v>40000</v>
      </c>
      <c r="C10" s="6">
        <v>0</v>
      </c>
      <c r="D10" s="7">
        <v>0</v>
      </c>
      <c r="E10" s="6">
        <v>0</v>
      </c>
      <c r="F10" s="4"/>
      <c r="G10" s="8" t="str">
        <f t="shared" si="0"/>
        <v/>
      </c>
      <c r="H10" s="8" t="str">
        <f t="shared" si="1"/>
        <v/>
      </c>
      <c r="I10" s="3" t="s">
        <v>211</v>
      </c>
    </row>
    <row r="11" spans="1:9" ht="25.5" customHeight="1" x14ac:dyDescent="0.25">
      <c r="A11" s="2" t="s">
        <v>212</v>
      </c>
      <c r="B11" s="6">
        <v>16000</v>
      </c>
      <c r="C11" s="6">
        <v>0</v>
      </c>
      <c r="D11" s="7">
        <v>0</v>
      </c>
      <c r="E11" s="6">
        <v>0</v>
      </c>
      <c r="F11" s="4"/>
      <c r="G11" s="8" t="str">
        <f t="shared" si="0"/>
        <v/>
      </c>
      <c r="H11" s="8" t="str">
        <f t="shared" si="1"/>
        <v/>
      </c>
      <c r="I11" s="3" t="s">
        <v>213</v>
      </c>
    </row>
    <row r="12" spans="1:9" x14ac:dyDescent="0.25">
      <c r="A12" s="2" t="s">
        <v>160</v>
      </c>
      <c r="B12" s="6">
        <v>22500</v>
      </c>
      <c r="C12" s="6">
        <v>0</v>
      </c>
      <c r="D12" s="7">
        <v>0</v>
      </c>
      <c r="E12" s="6">
        <v>3000</v>
      </c>
      <c r="F12" s="4"/>
      <c r="G12" s="8" t="str">
        <f t="shared" si="0"/>
        <v/>
      </c>
      <c r="H12" s="8" t="str">
        <f t="shared" si="1"/>
        <v/>
      </c>
      <c r="I12" s="3" t="s">
        <v>208</v>
      </c>
    </row>
    <row r="13" spans="1:9" x14ac:dyDescent="0.25">
      <c r="A13" s="2" t="s">
        <v>214</v>
      </c>
      <c r="B13" s="6">
        <v>15000</v>
      </c>
      <c r="C13" s="6">
        <v>0</v>
      </c>
      <c r="D13" s="7">
        <v>0</v>
      </c>
      <c r="E13" s="6">
        <v>0</v>
      </c>
      <c r="F13" s="4"/>
      <c r="G13" s="8" t="str">
        <f t="shared" si="0"/>
        <v/>
      </c>
      <c r="H13" s="8" t="str">
        <f t="shared" si="1"/>
        <v/>
      </c>
      <c r="I13" s="3" t="s">
        <v>215</v>
      </c>
    </row>
    <row r="14" spans="1:9" x14ac:dyDescent="0.25">
      <c r="A14" s="2" t="s">
        <v>63</v>
      </c>
      <c r="B14" s="6"/>
      <c r="C14" s="6"/>
      <c r="D14" s="7"/>
      <c r="E14" s="6"/>
      <c r="F14" s="4"/>
      <c r="G14" s="8" t="str">
        <f t="shared" si="0"/>
        <v/>
      </c>
      <c r="H14" s="8" t="str">
        <f t="shared" si="1"/>
        <v/>
      </c>
      <c r="I14" s="3" t="s">
        <v>216</v>
      </c>
    </row>
    <row r="15" spans="1:9" x14ac:dyDescent="0.25">
      <c r="A15" s="2" t="s">
        <v>84</v>
      </c>
      <c r="B15" s="6"/>
      <c r="C15" s="6"/>
      <c r="D15" s="7"/>
      <c r="E15" s="6"/>
      <c r="F15" s="4"/>
      <c r="G15" s="8" t="str">
        <f t="shared" si="0"/>
        <v/>
      </c>
      <c r="H15" s="8" t="str">
        <f t="shared" si="1"/>
        <v/>
      </c>
      <c r="I15" s="3" t="s">
        <v>216</v>
      </c>
    </row>
    <row r="16" spans="1:9" x14ac:dyDescent="0.25">
      <c r="A16" s="2" t="s">
        <v>114</v>
      </c>
      <c r="B16" s="6"/>
      <c r="C16" s="6"/>
      <c r="D16" s="7"/>
      <c r="E16" s="6"/>
      <c r="F16" s="4"/>
      <c r="G16" s="8" t="str">
        <f t="shared" si="0"/>
        <v/>
      </c>
      <c r="H16" s="8" t="str">
        <f t="shared" si="1"/>
        <v/>
      </c>
      <c r="I16" s="3" t="s">
        <v>216</v>
      </c>
    </row>
    <row r="17" spans="1:9" x14ac:dyDescent="0.25">
      <c r="A17" s="2" t="s">
        <v>168</v>
      </c>
      <c r="B17" s="6"/>
      <c r="C17" s="6"/>
      <c r="D17" s="7"/>
      <c r="E17" s="6"/>
      <c r="F17" s="4"/>
      <c r="G17" s="8" t="str">
        <f t="shared" si="0"/>
        <v/>
      </c>
      <c r="H17" s="8" t="str">
        <f t="shared" si="1"/>
        <v/>
      </c>
      <c r="I17" s="3" t="s">
        <v>216</v>
      </c>
    </row>
    <row r="18" spans="1:9" x14ac:dyDescent="0.25">
      <c r="A18" s="2" t="s">
        <v>185</v>
      </c>
      <c r="B18" s="6"/>
      <c r="C18" s="6"/>
      <c r="D18" s="7"/>
      <c r="E18" s="6"/>
      <c r="F18" s="4"/>
      <c r="G18" s="8" t="str">
        <f t="shared" si="0"/>
        <v/>
      </c>
      <c r="H18" s="8" t="str">
        <f t="shared" si="1"/>
        <v/>
      </c>
      <c r="I18" s="3" t="s">
        <v>216</v>
      </c>
    </row>
    <row r="19" spans="1:9" x14ac:dyDescent="0.25">
      <c r="A19" s="2" t="s">
        <v>91</v>
      </c>
      <c r="B19" s="6"/>
      <c r="C19" s="6"/>
      <c r="D19" s="7"/>
      <c r="E19" s="6"/>
      <c r="F19" s="4"/>
      <c r="G19" s="8" t="str">
        <f t="shared" si="0"/>
        <v/>
      </c>
      <c r="H19" s="8" t="str">
        <f t="shared" si="1"/>
        <v/>
      </c>
      <c r="I19" s="3" t="s">
        <v>216</v>
      </c>
    </row>
    <row r="20" spans="1:9" x14ac:dyDescent="0.25">
      <c r="A20" s="2" t="s">
        <v>42</v>
      </c>
      <c r="B20" s="6"/>
      <c r="C20" s="6"/>
      <c r="D20" s="7"/>
      <c r="E20" s="6"/>
      <c r="F20" s="4"/>
      <c r="G20" s="8" t="str">
        <f t="shared" si="0"/>
        <v/>
      </c>
      <c r="H20" s="8" t="str">
        <f t="shared" si="1"/>
        <v/>
      </c>
      <c r="I20" s="3" t="s">
        <v>216</v>
      </c>
    </row>
    <row r="21" spans="1:9" x14ac:dyDescent="0.25">
      <c r="A21" s="2" t="s">
        <v>27</v>
      </c>
      <c r="B21" s="6"/>
      <c r="C21" s="6"/>
      <c r="D21" s="7"/>
      <c r="E21" s="6"/>
      <c r="F21" s="4"/>
      <c r="G21" s="8" t="str">
        <f t="shared" si="0"/>
        <v/>
      </c>
      <c r="H21" s="8" t="str">
        <f t="shared" si="1"/>
        <v/>
      </c>
      <c r="I21" s="3" t="s">
        <v>217</v>
      </c>
    </row>
    <row r="23" spans="1:9" x14ac:dyDescent="0.25">
      <c r="A23" s="9" t="s">
        <v>218</v>
      </c>
    </row>
    <row r="24" spans="1:9" x14ac:dyDescent="0.25">
      <c r="A24" s="10" t="s">
        <v>219</v>
      </c>
    </row>
  </sheetData>
  <dataValidations count="1">
    <dataValidation type="list" allowBlank="1" sqref="F2:F21" xr:uid="{00000000-0002-0000-0100-000000000000}">
      <formula1>"2025,2026"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3"/>
  <sheetViews>
    <sheetView zoomScaleNormal="100" workbookViewId="0"/>
  </sheetViews>
  <sheetFormatPr defaultColWidth="8.7109375" defaultRowHeight="15" x14ac:dyDescent="0.25"/>
  <cols>
    <col min="1" max="1" width="108" customWidth="1"/>
  </cols>
  <sheetData>
    <row r="1" spans="1:1" x14ac:dyDescent="0.25">
      <c r="A1" s="11" t="s">
        <v>220</v>
      </c>
    </row>
    <row r="2" spans="1:1" x14ac:dyDescent="0.25">
      <c r="A2" s="12"/>
    </row>
    <row r="3" spans="1:1" x14ac:dyDescent="0.25">
      <c r="A3" s="12" t="s">
        <v>221</v>
      </c>
    </row>
    <row r="4" spans="1:1" x14ac:dyDescent="0.25">
      <c r="A4" s="12"/>
    </row>
    <row r="5" spans="1:1" x14ac:dyDescent="0.25">
      <c r="A5" s="11" t="s">
        <v>222</v>
      </c>
    </row>
    <row r="6" spans="1:1" x14ac:dyDescent="0.25">
      <c r="A6" s="12" t="s">
        <v>223</v>
      </c>
    </row>
    <row r="7" spans="1:1" x14ac:dyDescent="0.25">
      <c r="A7" s="12" t="s">
        <v>224</v>
      </c>
    </row>
    <row r="8" spans="1:1" x14ac:dyDescent="0.25">
      <c r="A8" s="12" t="s">
        <v>225</v>
      </c>
    </row>
    <row r="9" spans="1:1" x14ac:dyDescent="0.25">
      <c r="A9" s="12" t="s">
        <v>226</v>
      </c>
    </row>
    <row r="10" spans="1:1" x14ac:dyDescent="0.25">
      <c r="A10" s="12" t="s">
        <v>227</v>
      </c>
    </row>
    <row r="11" spans="1:1" x14ac:dyDescent="0.25">
      <c r="A11" s="12" t="s">
        <v>228</v>
      </c>
    </row>
    <row r="12" spans="1:1" x14ac:dyDescent="0.25">
      <c r="A12" s="12" t="s">
        <v>229</v>
      </c>
    </row>
    <row r="13" spans="1:1" x14ac:dyDescent="0.25">
      <c r="A13" s="12"/>
    </row>
    <row r="14" spans="1:1" x14ac:dyDescent="0.25">
      <c r="A14" s="11" t="s">
        <v>230</v>
      </c>
    </row>
    <row r="15" spans="1:1" x14ac:dyDescent="0.25">
      <c r="A15" s="12" t="s">
        <v>231</v>
      </c>
    </row>
    <row r="16" spans="1:1" x14ac:dyDescent="0.25">
      <c r="A16" s="12" t="s">
        <v>232</v>
      </c>
    </row>
    <row r="17" spans="1:1" x14ac:dyDescent="0.25">
      <c r="A17" s="12" t="s">
        <v>233</v>
      </c>
    </row>
    <row r="18" spans="1:1" x14ac:dyDescent="0.25">
      <c r="A18" s="12"/>
    </row>
    <row r="19" spans="1:1" x14ac:dyDescent="0.25">
      <c r="A19" s="11" t="s">
        <v>234</v>
      </c>
    </row>
    <row r="20" spans="1:1" x14ac:dyDescent="0.25">
      <c r="A20" s="12" t="s">
        <v>235</v>
      </c>
    </row>
    <row r="21" spans="1:1" x14ac:dyDescent="0.25">
      <c r="A21" s="12" t="s">
        <v>236</v>
      </c>
    </row>
    <row r="22" spans="1:1" x14ac:dyDescent="0.25">
      <c r="A22" s="12" t="s">
        <v>237</v>
      </c>
    </row>
    <row r="23" spans="1:1" x14ac:dyDescent="0.25">
      <c r="A23" s="12" t="s">
        <v>238</v>
      </c>
    </row>
    <row r="24" spans="1:1" x14ac:dyDescent="0.25">
      <c r="A24" s="12"/>
    </row>
    <row r="25" spans="1:1" x14ac:dyDescent="0.25">
      <c r="A25" s="11" t="s">
        <v>239</v>
      </c>
    </row>
    <row r="26" spans="1:1" x14ac:dyDescent="0.25">
      <c r="A26" s="12" t="s">
        <v>240</v>
      </c>
    </row>
    <row r="27" spans="1:1" x14ac:dyDescent="0.25">
      <c r="A27" s="12" t="s">
        <v>241</v>
      </c>
    </row>
    <row r="28" spans="1:1" x14ac:dyDescent="0.25">
      <c r="A28" s="12" t="s">
        <v>242</v>
      </c>
    </row>
    <row r="29" spans="1:1" x14ac:dyDescent="0.25">
      <c r="A29" s="12" t="s">
        <v>243</v>
      </c>
    </row>
    <row r="30" spans="1:1" x14ac:dyDescent="0.25">
      <c r="A30" s="12" t="s">
        <v>244</v>
      </c>
    </row>
    <row r="31" spans="1:1" x14ac:dyDescent="0.25">
      <c r="A31" s="12"/>
    </row>
    <row r="32" spans="1:1" x14ac:dyDescent="0.25">
      <c r="A32" s="11" t="s">
        <v>245</v>
      </c>
    </row>
    <row r="33" spans="1:1" x14ac:dyDescent="0.25">
      <c r="A33" s="12" t="s">
        <v>246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02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3" customWidth="1"/>
    <col min="2" max="2" width="62" customWidth="1"/>
    <col min="3" max="3" width="24" customWidth="1"/>
    <col min="4" max="4" width="22" customWidth="1"/>
    <col min="5" max="5" width="34" customWidth="1"/>
  </cols>
  <sheetData>
    <row r="1" spans="1:5" ht="30" customHeight="1" x14ac:dyDescent="0.25">
      <c r="A1" s="1" t="s">
        <v>6</v>
      </c>
      <c r="B1" s="1" t="s">
        <v>7</v>
      </c>
      <c r="C1" s="1" t="s">
        <v>9</v>
      </c>
      <c r="D1" s="1" t="s">
        <v>247</v>
      </c>
      <c r="E1" s="1" t="s">
        <v>248</v>
      </c>
    </row>
    <row r="2" spans="1:5" x14ac:dyDescent="0.25">
      <c r="A2" s="13" t="s">
        <v>249</v>
      </c>
      <c r="B2" s="13" t="s">
        <v>250</v>
      </c>
      <c r="C2" s="13" t="s">
        <v>35</v>
      </c>
      <c r="D2" s="13" t="s">
        <v>77</v>
      </c>
      <c r="E2" s="13"/>
    </row>
    <row r="3" spans="1:5" x14ac:dyDescent="0.25">
      <c r="A3" s="13" t="s">
        <v>249</v>
      </c>
      <c r="B3" s="13" t="s">
        <v>251</v>
      </c>
      <c r="C3" s="13" t="s">
        <v>50</v>
      </c>
      <c r="D3" s="13" t="s">
        <v>77</v>
      </c>
      <c r="E3" s="13"/>
    </row>
    <row r="4" spans="1:5" x14ac:dyDescent="0.25">
      <c r="A4" s="13" t="s">
        <v>249</v>
      </c>
      <c r="B4" s="13" t="s">
        <v>252</v>
      </c>
      <c r="C4" s="13" t="s">
        <v>253</v>
      </c>
      <c r="D4" s="13" t="s">
        <v>19</v>
      </c>
      <c r="E4" s="13"/>
    </row>
    <row r="5" spans="1:5" x14ac:dyDescent="0.25">
      <c r="A5" s="13" t="s">
        <v>254</v>
      </c>
      <c r="B5" s="13" t="s">
        <v>255</v>
      </c>
      <c r="C5" s="13" t="s">
        <v>253</v>
      </c>
      <c r="D5" s="13" t="s">
        <v>19</v>
      </c>
      <c r="E5" s="13"/>
    </row>
    <row r="6" spans="1:5" x14ac:dyDescent="0.25">
      <c r="A6" s="13" t="s">
        <v>256</v>
      </c>
      <c r="B6" s="13" t="s">
        <v>257</v>
      </c>
      <c r="C6" s="13" t="s">
        <v>50</v>
      </c>
      <c r="D6" s="13" t="s">
        <v>34</v>
      </c>
      <c r="E6" s="13"/>
    </row>
    <row r="7" spans="1:5" x14ac:dyDescent="0.25">
      <c r="A7" s="13" t="s">
        <v>256</v>
      </c>
      <c r="B7" s="13" t="s">
        <v>258</v>
      </c>
      <c r="C7" s="13" t="s">
        <v>253</v>
      </c>
      <c r="D7" s="13" t="s">
        <v>19</v>
      </c>
      <c r="E7" s="13"/>
    </row>
    <row r="8" spans="1:5" x14ac:dyDescent="0.25">
      <c r="A8" s="13" t="s">
        <v>259</v>
      </c>
      <c r="B8" s="13" t="s">
        <v>260</v>
      </c>
      <c r="C8" s="13" t="s">
        <v>35</v>
      </c>
      <c r="D8" s="13" t="s">
        <v>68</v>
      </c>
      <c r="E8" s="13"/>
    </row>
    <row r="9" spans="1:5" x14ac:dyDescent="0.25">
      <c r="A9" s="13" t="s">
        <v>261</v>
      </c>
      <c r="B9" s="13" t="s">
        <v>262</v>
      </c>
      <c r="C9" s="13" t="s">
        <v>50</v>
      </c>
      <c r="D9" s="13" t="s">
        <v>49</v>
      </c>
      <c r="E9" s="13"/>
    </row>
    <row r="10" spans="1:5" x14ac:dyDescent="0.25">
      <c r="A10" s="13" t="s">
        <v>261</v>
      </c>
      <c r="B10" s="13" t="s">
        <v>263</v>
      </c>
      <c r="C10" s="13" t="s">
        <v>35</v>
      </c>
      <c r="D10" s="13" t="s">
        <v>77</v>
      </c>
      <c r="E10" s="13"/>
    </row>
    <row r="11" spans="1:5" x14ac:dyDescent="0.25">
      <c r="A11" s="13" t="s">
        <v>261</v>
      </c>
      <c r="B11" s="13" t="s">
        <v>264</v>
      </c>
      <c r="C11" s="13" t="s">
        <v>35</v>
      </c>
      <c r="D11" s="13" t="s">
        <v>68</v>
      </c>
      <c r="E11" s="13"/>
    </row>
    <row r="12" spans="1:5" x14ac:dyDescent="0.25">
      <c r="A12" s="13" t="s">
        <v>261</v>
      </c>
      <c r="B12" s="13" t="s">
        <v>265</v>
      </c>
      <c r="C12" s="13" t="s">
        <v>50</v>
      </c>
      <c r="D12" s="13" t="s">
        <v>49</v>
      </c>
      <c r="E12" s="13"/>
    </row>
    <row r="13" spans="1:5" x14ac:dyDescent="0.25">
      <c r="A13" s="13" t="s">
        <v>261</v>
      </c>
      <c r="B13" s="13" t="s">
        <v>266</v>
      </c>
      <c r="C13" s="13" t="s">
        <v>253</v>
      </c>
      <c r="D13" s="13" t="s">
        <v>19</v>
      </c>
      <c r="E13" s="13"/>
    </row>
    <row r="14" spans="1:5" x14ac:dyDescent="0.25">
      <c r="A14" s="13" t="s">
        <v>267</v>
      </c>
      <c r="B14" s="13" t="s">
        <v>268</v>
      </c>
      <c r="C14" s="13" t="s">
        <v>20</v>
      </c>
      <c r="D14" s="13" t="s">
        <v>49</v>
      </c>
      <c r="E14" s="13"/>
    </row>
    <row r="15" spans="1:5" x14ac:dyDescent="0.25">
      <c r="A15" s="13" t="s">
        <v>267</v>
      </c>
      <c r="B15" s="13" t="s">
        <v>269</v>
      </c>
      <c r="C15" s="13" t="s">
        <v>35</v>
      </c>
      <c r="D15" s="13" t="s">
        <v>77</v>
      </c>
      <c r="E15" s="13"/>
    </row>
    <row r="16" spans="1:5" x14ac:dyDescent="0.25">
      <c r="A16" s="13" t="s">
        <v>267</v>
      </c>
      <c r="B16" s="13" t="s">
        <v>270</v>
      </c>
      <c r="C16" s="13" t="s">
        <v>253</v>
      </c>
      <c r="D16" s="13" t="s">
        <v>19</v>
      </c>
      <c r="E16" s="13"/>
    </row>
    <row r="17" spans="1:5" x14ac:dyDescent="0.25">
      <c r="A17" s="13" t="s">
        <v>267</v>
      </c>
      <c r="B17" s="13" t="s">
        <v>271</v>
      </c>
      <c r="C17" s="13" t="s">
        <v>35</v>
      </c>
      <c r="D17" s="13" t="s">
        <v>19</v>
      </c>
      <c r="E17" s="13" t="s">
        <v>272</v>
      </c>
    </row>
    <row r="18" spans="1:5" x14ac:dyDescent="0.25">
      <c r="A18" s="13" t="s">
        <v>273</v>
      </c>
      <c r="B18" s="13" t="s">
        <v>274</v>
      </c>
      <c r="C18" s="13" t="s">
        <v>35</v>
      </c>
      <c r="D18" s="13" t="s">
        <v>275</v>
      </c>
      <c r="E18" s="13"/>
    </row>
    <row r="19" spans="1:5" x14ac:dyDescent="0.25">
      <c r="A19" s="13" t="s">
        <v>276</v>
      </c>
      <c r="B19" s="13" t="s">
        <v>277</v>
      </c>
      <c r="C19" s="13" t="s">
        <v>50</v>
      </c>
      <c r="D19" s="13" t="s">
        <v>49</v>
      </c>
      <c r="E19" s="13"/>
    </row>
    <row r="20" spans="1:5" x14ac:dyDescent="0.25">
      <c r="A20" s="13" t="s">
        <v>278</v>
      </c>
      <c r="B20" s="13" t="s">
        <v>279</v>
      </c>
      <c r="C20" s="13" t="s">
        <v>35</v>
      </c>
      <c r="D20" s="13" t="s">
        <v>19</v>
      </c>
      <c r="E20" s="13"/>
    </row>
    <row r="21" spans="1:5" x14ac:dyDescent="0.25">
      <c r="A21" s="13" t="s">
        <v>280</v>
      </c>
      <c r="B21" s="13" t="s">
        <v>281</v>
      </c>
      <c r="C21" s="13" t="s">
        <v>35</v>
      </c>
      <c r="D21" s="13" t="s">
        <v>19</v>
      </c>
      <c r="E21" s="13"/>
    </row>
    <row r="22" spans="1:5" x14ac:dyDescent="0.25">
      <c r="A22" s="13" t="s">
        <v>280</v>
      </c>
      <c r="B22" s="13" t="s">
        <v>282</v>
      </c>
      <c r="C22" s="13" t="s">
        <v>35</v>
      </c>
      <c r="D22" s="13" t="s">
        <v>77</v>
      </c>
      <c r="E22" s="13"/>
    </row>
    <row r="23" spans="1:5" x14ac:dyDescent="0.25">
      <c r="A23" s="13" t="s">
        <v>280</v>
      </c>
      <c r="B23" s="13" t="s">
        <v>283</v>
      </c>
      <c r="C23" s="13" t="s">
        <v>35</v>
      </c>
      <c r="D23" s="13" t="s">
        <v>34</v>
      </c>
      <c r="E23" s="13"/>
    </row>
    <row r="24" spans="1:5" x14ac:dyDescent="0.25">
      <c r="A24" s="13" t="s">
        <v>280</v>
      </c>
      <c r="B24" s="13" t="s">
        <v>284</v>
      </c>
      <c r="C24" s="13" t="s">
        <v>20</v>
      </c>
      <c r="D24" s="13" t="s">
        <v>49</v>
      </c>
      <c r="E24" s="13" t="s">
        <v>285</v>
      </c>
    </row>
    <row r="25" spans="1:5" x14ac:dyDescent="0.25">
      <c r="A25" s="13" t="s">
        <v>286</v>
      </c>
      <c r="B25" s="13" t="s">
        <v>287</v>
      </c>
      <c r="C25" s="13" t="s">
        <v>253</v>
      </c>
      <c r="D25" s="13" t="s">
        <v>19</v>
      </c>
      <c r="E25" s="13"/>
    </row>
    <row r="26" spans="1:5" x14ac:dyDescent="0.25">
      <c r="A26" s="13" t="s">
        <v>288</v>
      </c>
      <c r="B26" s="13" t="s">
        <v>289</v>
      </c>
      <c r="C26" s="13" t="s">
        <v>35</v>
      </c>
      <c r="D26" s="13" t="s">
        <v>34</v>
      </c>
      <c r="E26" s="13" t="s">
        <v>290</v>
      </c>
    </row>
    <row r="27" spans="1:5" x14ac:dyDescent="0.25">
      <c r="A27" s="13" t="s">
        <v>291</v>
      </c>
      <c r="B27" s="13" t="s">
        <v>292</v>
      </c>
      <c r="C27" s="13" t="s">
        <v>35</v>
      </c>
      <c r="D27" s="13" t="s">
        <v>77</v>
      </c>
      <c r="E27" s="13"/>
    </row>
    <row r="28" spans="1:5" x14ac:dyDescent="0.25">
      <c r="A28" s="13" t="s">
        <v>291</v>
      </c>
      <c r="B28" s="13" t="s">
        <v>293</v>
      </c>
      <c r="C28" s="13" t="s">
        <v>35</v>
      </c>
      <c r="D28" s="13" t="s">
        <v>19</v>
      </c>
      <c r="E28" s="13" t="s">
        <v>290</v>
      </c>
    </row>
    <row r="29" spans="1:5" x14ac:dyDescent="0.25">
      <c r="A29" s="13" t="s">
        <v>294</v>
      </c>
      <c r="B29" s="13" t="s">
        <v>295</v>
      </c>
      <c r="C29" s="13" t="s">
        <v>35</v>
      </c>
      <c r="D29" s="13" t="s">
        <v>77</v>
      </c>
      <c r="E29" s="13" t="s">
        <v>290</v>
      </c>
    </row>
    <row r="30" spans="1:5" x14ac:dyDescent="0.25">
      <c r="A30" s="13" t="s">
        <v>296</v>
      </c>
      <c r="B30" s="13" t="s">
        <v>297</v>
      </c>
      <c r="C30" s="13" t="s">
        <v>253</v>
      </c>
      <c r="D30" s="13" t="s">
        <v>19</v>
      </c>
      <c r="E30" s="13"/>
    </row>
    <row r="31" spans="1:5" x14ac:dyDescent="0.25">
      <c r="A31" s="13" t="s">
        <v>298</v>
      </c>
      <c r="B31" s="13" t="s">
        <v>299</v>
      </c>
      <c r="C31" s="13" t="s">
        <v>253</v>
      </c>
      <c r="D31" s="13" t="s">
        <v>19</v>
      </c>
      <c r="E31" s="13"/>
    </row>
    <row r="32" spans="1:5" x14ac:dyDescent="0.25">
      <c r="A32" s="13" t="s">
        <v>300</v>
      </c>
      <c r="B32" s="13" t="s">
        <v>301</v>
      </c>
      <c r="C32" s="13" t="s">
        <v>35</v>
      </c>
      <c r="D32" s="13" t="s">
        <v>77</v>
      </c>
      <c r="E32" s="13"/>
    </row>
    <row r="33" spans="1:5" x14ac:dyDescent="0.25">
      <c r="A33" s="13" t="s">
        <v>300</v>
      </c>
      <c r="B33" s="13" t="s">
        <v>299</v>
      </c>
      <c r="C33" s="13" t="s">
        <v>253</v>
      </c>
      <c r="D33" s="13" t="s">
        <v>19</v>
      </c>
      <c r="E33" s="13"/>
    </row>
    <row r="34" spans="1:5" x14ac:dyDescent="0.25">
      <c r="A34" s="13" t="s">
        <v>302</v>
      </c>
      <c r="B34" s="13" t="s">
        <v>303</v>
      </c>
      <c r="C34" s="13" t="s">
        <v>35</v>
      </c>
      <c r="D34" s="13" t="s">
        <v>68</v>
      </c>
      <c r="E34" s="13"/>
    </row>
    <row r="35" spans="1:5" x14ac:dyDescent="0.25">
      <c r="A35" s="13" t="s">
        <v>304</v>
      </c>
      <c r="B35" s="13" t="s">
        <v>305</v>
      </c>
      <c r="C35" s="13" t="s">
        <v>253</v>
      </c>
      <c r="D35" s="13" t="s">
        <v>19</v>
      </c>
      <c r="E35" s="13"/>
    </row>
    <row r="36" spans="1:5" x14ac:dyDescent="0.25">
      <c r="A36" s="13" t="s">
        <v>306</v>
      </c>
      <c r="B36" s="13" t="s">
        <v>307</v>
      </c>
      <c r="C36" s="13" t="s">
        <v>35</v>
      </c>
      <c r="D36" s="13" t="s">
        <v>77</v>
      </c>
      <c r="E36" s="13"/>
    </row>
    <row r="37" spans="1:5" x14ac:dyDescent="0.25">
      <c r="A37" s="13" t="s">
        <v>17</v>
      </c>
      <c r="B37" s="13" t="s">
        <v>308</v>
      </c>
      <c r="C37" s="13" t="s">
        <v>35</v>
      </c>
      <c r="D37" s="13" t="s">
        <v>68</v>
      </c>
      <c r="E37" s="13" t="s">
        <v>309</v>
      </c>
    </row>
    <row r="38" spans="1:5" x14ac:dyDescent="0.25">
      <c r="A38" s="13" t="s">
        <v>17</v>
      </c>
      <c r="B38" s="13" t="s">
        <v>310</v>
      </c>
      <c r="C38" s="13" t="s">
        <v>20</v>
      </c>
      <c r="D38" s="13" t="s">
        <v>19</v>
      </c>
      <c r="E38" s="13" t="s">
        <v>311</v>
      </c>
    </row>
    <row r="39" spans="1:5" x14ac:dyDescent="0.25">
      <c r="A39" s="13" t="s">
        <v>312</v>
      </c>
      <c r="B39" s="13" t="s">
        <v>313</v>
      </c>
      <c r="C39" s="13"/>
      <c r="D39" s="13"/>
      <c r="E39" s="13" t="s">
        <v>314</v>
      </c>
    </row>
    <row r="40" spans="1:5" x14ac:dyDescent="0.25">
      <c r="A40" s="13" t="s">
        <v>315</v>
      </c>
      <c r="B40" s="13" t="s">
        <v>316</v>
      </c>
      <c r="C40" s="13" t="s">
        <v>35</v>
      </c>
      <c r="D40" s="13" t="s">
        <v>77</v>
      </c>
      <c r="E40" s="13"/>
    </row>
    <row r="41" spans="1:5" x14ac:dyDescent="0.25">
      <c r="A41" s="13" t="s">
        <v>315</v>
      </c>
      <c r="B41" s="13" t="s">
        <v>317</v>
      </c>
      <c r="C41" s="13" t="s">
        <v>253</v>
      </c>
      <c r="D41" s="13" t="s">
        <v>19</v>
      </c>
      <c r="E41" s="13"/>
    </row>
    <row r="42" spans="1:5" x14ac:dyDescent="0.25">
      <c r="A42" s="13" t="s">
        <v>318</v>
      </c>
      <c r="B42" s="13" t="s">
        <v>319</v>
      </c>
      <c r="C42" s="13" t="s">
        <v>35</v>
      </c>
      <c r="D42" s="13" t="s">
        <v>34</v>
      </c>
      <c r="E42" s="13" t="s">
        <v>309</v>
      </c>
    </row>
    <row r="43" spans="1:5" x14ac:dyDescent="0.25">
      <c r="A43" s="13" t="s">
        <v>318</v>
      </c>
      <c r="B43" s="13" t="s">
        <v>320</v>
      </c>
      <c r="C43" s="13" t="s">
        <v>20</v>
      </c>
      <c r="D43" s="13" t="s">
        <v>49</v>
      </c>
      <c r="E43" s="13" t="s">
        <v>321</v>
      </c>
    </row>
    <row r="44" spans="1:5" x14ac:dyDescent="0.25">
      <c r="A44" s="13" t="s">
        <v>322</v>
      </c>
      <c r="B44" s="13" t="s">
        <v>323</v>
      </c>
      <c r="C44" s="13" t="s">
        <v>253</v>
      </c>
      <c r="D44" s="13" t="s">
        <v>19</v>
      </c>
      <c r="E44" s="13"/>
    </row>
    <row r="45" spans="1:5" x14ac:dyDescent="0.25">
      <c r="A45" s="13" t="s">
        <v>322</v>
      </c>
      <c r="B45" s="13" t="s">
        <v>324</v>
      </c>
      <c r="C45" s="13" t="s">
        <v>35</v>
      </c>
      <c r="D45" s="13" t="s">
        <v>77</v>
      </c>
      <c r="E45" s="13"/>
    </row>
    <row r="46" spans="1:5" x14ac:dyDescent="0.25">
      <c r="A46" s="13" t="s">
        <v>325</v>
      </c>
      <c r="B46" s="13" t="s">
        <v>326</v>
      </c>
      <c r="C46" s="13"/>
      <c r="D46" s="13"/>
      <c r="E46" s="13"/>
    </row>
    <row r="47" spans="1:5" x14ac:dyDescent="0.25">
      <c r="A47" s="13" t="s">
        <v>327</v>
      </c>
      <c r="B47" s="13" t="s">
        <v>328</v>
      </c>
      <c r="C47" s="13" t="s">
        <v>35</v>
      </c>
      <c r="D47" s="13" t="s">
        <v>77</v>
      </c>
      <c r="E47" s="13"/>
    </row>
    <row r="48" spans="1:5" x14ac:dyDescent="0.25">
      <c r="A48" s="13" t="s">
        <v>327</v>
      </c>
      <c r="B48" s="13" t="s">
        <v>329</v>
      </c>
      <c r="C48" s="13" t="s">
        <v>253</v>
      </c>
      <c r="D48" s="13" t="s">
        <v>19</v>
      </c>
      <c r="E48" s="13"/>
    </row>
    <row r="49" spans="1:5" x14ac:dyDescent="0.25">
      <c r="A49" s="13" t="s">
        <v>327</v>
      </c>
      <c r="B49" s="13" t="s">
        <v>330</v>
      </c>
      <c r="C49" s="13" t="s">
        <v>35</v>
      </c>
      <c r="D49" s="13" t="s">
        <v>34</v>
      </c>
      <c r="E49" s="13"/>
    </row>
    <row r="50" spans="1:5" x14ac:dyDescent="0.25">
      <c r="A50" s="13" t="s">
        <v>331</v>
      </c>
      <c r="B50" s="13" t="s">
        <v>332</v>
      </c>
      <c r="C50" s="13" t="s">
        <v>35</v>
      </c>
      <c r="D50" s="13" t="s">
        <v>77</v>
      </c>
      <c r="E50" s="13" t="s">
        <v>309</v>
      </c>
    </row>
    <row r="51" spans="1:5" x14ac:dyDescent="0.25">
      <c r="A51" s="13" t="s">
        <v>331</v>
      </c>
      <c r="B51" s="13" t="s">
        <v>333</v>
      </c>
      <c r="C51" s="13" t="s">
        <v>253</v>
      </c>
      <c r="D51" s="13" t="s">
        <v>19</v>
      </c>
      <c r="E51" s="13"/>
    </row>
    <row r="52" spans="1:5" x14ac:dyDescent="0.25">
      <c r="A52" s="13" t="s">
        <v>334</v>
      </c>
      <c r="B52" s="13" t="s">
        <v>335</v>
      </c>
      <c r="C52" s="13"/>
      <c r="D52" s="13"/>
      <c r="E52" s="13"/>
    </row>
    <row r="53" spans="1:5" x14ac:dyDescent="0.25">
      <c r="A53" s="13" t="s">
        <v>334</v>
      </c>
      <c r="B53" s="13" t="s">
        <v>336</v>
      </c>
      <c r="C53" s="13" t="s">
        <v>20</v>
      </c>
      <c r="D53" s="13" t="s">
        <v>49</v>
      </c>
      <c r="E53" s="13"/>
    </row>
    <row r="54" spans="1:5" x14ac:dyDescent="0.25">
      <c r="A54" s="13" t="s">
        <v>334</v>
      </c>
      <c r="B54" s="13" t="s">
        <v>337</v>
      </c>
      <c r="C54" s="13" t="s">
        <v>35</v>
      </c>
      <c r="D54" s="13" t="s">
        <v>77</v>
      </c>
      <c r="E54" s="13"/>
    </row>
    <row r="55" spans="1:5" x14ac:dyDescent="0.25">
      <c r="A55" s="13" t="s">
        <v>338</v>
      </c>
      <c r="B55" s="13" t="s">
        <v>339</v>
      </c>
      <c r="C55" s="13" t="s">
        <v>35</v>
      </c>
      <c r="D55" s="13" t="s">
        <v>77</v>
      </c>
      <c r="E55" s="13"/>
    </row>
    <row r="56" spans="1:5" x14ac:dyDescent="0.25">
      <c r="A56" s="13" t="s">
        <v>340</v>
      </c>
      <c r="B56" s="13" t="s">
        <v>341</v>
      </c>
      <c r="C56" s="13" t="s">
        <v>35</v>
      </c>
      <c r="D56" s="13" t="s">
        <v>34</v>
      </c>
      <c r="E56" s="13" t="s">
        <v>342</v>
      </c>
    </row>
    <row r="57" spans="1:5" x14ac:dyDescent="0.25">
      <c r="A57" s="13" t="s">
        <v>343</v>
      </c>
      <c r="B57" s="13" t="s">
        <v>344</v>
      </c>
      <c r="C57" s="13" t="s">
        <v>35</v>
      </c>
      <c r="D57" s="13" t="s">
        <v>77</v>
      </c>
      <c r="E57" s="13"/>
    </row>
    <row r="58" spans="1:5" x14ac:dyDescent="0.25">
      <c r="A58" s="13" t="s">
        <v>345</v>
      </c>
      <c r="B58" s="13" t="s">
        <v>346</v>
      </c>
      <c r="C58" s="13" t="s">
        <v>35</v>
      </c>
      <c r="D58" s="13" t="s">
        <v>19</v>
      </c>
      <c r="E58" s="13" t="s">
        <v>347</v>
      </c>
    </row>
    <row r="59" spans="1:5" x14ac:dyDescent="0.25">
      <c r="A59" s="13" t="s">
        <v>348</v>
      </c>
      <c r="B59" s="13" t="s">
        <v>349</v>
      </c>
      <c r="C59" s="13" t="s">
        <v>35</v>
      </c>
      <c r="D59" s="13" t="s">
        <v>19</v>
      </c>
      <c r="E59" s="13" t="s">
        <v>309</v>
      </c>
    </row>
    <row r="60" spans="1:5" x14ac:dyDescent="0.25">
      <c r="A60" s="13" t="s">
        <v>350</v>
      </c>
      <c r="B60" s="13" t="s">
        <v>351</v>
      </c>
      <c r="C60" s="13" t="s">
        <v>35</v>
      </c>
      <c r="D60" s="13" t="s">
        <v>34</v>
      </c>
      <c r="E60" s="13"/>
    </row>
    <row r="61" spans="1:5" x14ac:dyDescent="0.25">
      <c r="A61" s="13" t="s">
        <v>352</v>
      </c>
      <c r="B61" s="13" t="s">
        <v>353</v>
      </c>
      <c r="C61" s="13" t="s">
        <v>35</v>
      </c>
      <c r="D61" s="13" t="s">
        <v>77</v>
      </c>
      <c r="E61" s="13"/>
    </row>
    <row r="62" spans="1:5" x14ac:dyDescent="0.25">
      <c r="A62" s="13" t="s">
        <v>354</v>
      </c>
      <c r="B62" s="13" t="s">
        <v>355</v>
      </c>
      <c r="C62" s="13" t="s">
        <v>253</v>
      </c>
      <c r="D62" s="13" t="s">
        <v>77</v>
      </c>
      <c r="E62" s="13"/>
    </row>
    <row r="63" spans="1:5" x14ac:dyDescent="0.25">
      <c r="A63" s="13" t="s">
        <v>354</v>
      </c>
      <c r="B63" s="13" t="s">
        <v>356</v>
      </c>
      <c r="C63" s="13" t="s">
        <v>20</v>
      </c>
      <c r="D63" s="13" t="s">
        <v>49</v>
      </c>
      <c r="E63" s="13"/>
    </row>
    <row r="64" spans="1:5" x14ac:dyDescent="0.25">
      <c r="A64" s="13" t="s">
        <v>354</v>
      </c>
      <c r="B64" s="13" t="s">
        <v>357</v>
      </c>
      <c r="C64" s="13" t="s">
        <v>35</v>
      </c>
      <c r="D64" s="13" t="s">
        <v>77</v>
      </c>
      <c r="E64" s="13"/>
    </row>
    <row r="65" spans="1:5" x14ac:dyDescent="0.25">
      <c r="A65" s="13" t="s">
        <v>358</v>
      </c>
      <c r="B65" s="13" t="s">
        <v>359</v>
      </c>
      <c r="C65" s="13" t="s">
        <v>35</v>
      </c>
      <c r="D65" s="13" t="s">
        <v>19</v>
      </c>
      <c r="E65" s="13"/>
    </row>
    <row r="66" spans="1:5" x14ac:dyDescent="0.25">
      <c r="A66" s="13" t="s">
        <v>360</v>
      </c>
      <c r="B66" s="13" t="s">
        <v>361</v>
      </c>
      <c r="C66" s="13" t="s">
        <v>35</v>
      </c>
      <c r="D66" s="13" t="s">
        <v>19</v>
      </c>
      <c r="E66" s="13"/>
    </row>
    <row r="67" spans="1:5" x14ac:dyDescent="0.25">
      <c r="A67" s="13" t="s">
        <v>362</v>
      </c>
      <c r="B67" s="13" t="s">
        <v>363</v>
      </c>
      <c r="C67" s="13" t="s">
        <v>35</v>
      </c>
      <c r="D67" s="13" t="s">
        <v>19</v>
      </c>
      <c r="E67" s="13" t="s">
        <v>285</v>
      </c>
    </row>
    <row r="68" spans="1:5" x14ac:dyDescent="0.25">
      <c r="A68" s="13" t="s">
        <v>364</v>
      </c>
      <c r="B68" s="13" t="s">
        <v>365</v>
      </c>
      <c r="C68" s="13" t="s">
        <v>50</v>
      </c>
      <c r="D68" s="13" t="s">
        <v>19</v>
      </c>
      <c r="E68" s="13"/>
    </row>
    <row r="69" spans="1:5" x14ac:dyDescent="0.25">
      <c r="A69" s="13" t="s">
        <v>366</v>
      </c>
      <c r="B69" s="13" t="s">
        <v>367</v>
      </c>
      <c r="C69" s="13" t="s">
        <v>20</v>
      </c>
      <c r="D69" s="13" t="s">
        <v>275</v>
      </c>
      <c r="E69" s="13"/>
    </row>
    <row r="70" spans="1:5" x14ac:dyDescent="0.25">
      <c r="A70" s="13" t="s">
        <v>366</v>
      </c>
      <c r="B70" s="13" t="s">
        <v>368</v>
      </c>
      <c r="C70" s="13" t="s">
        <v>35</v>
      </c>
      <c r="D70" s="13" t="s">
        <v>68</v>
      </c>
      <c r="E70" s="13"/>
    </row>
    <row r="71" spans="1:5" x14ac:dyDescent="0.25">
      <c r="A71" s="13" t="s">
        <v>366</v>
      </c>
      <c r="B71" s="13" t="s">
        <v>369</v>
      </c>
      <c r="C71" s="13" t="s">
        <v>253</v>
      </c>
      <c r="D71" s="13" t="s">
        <v>19</v>
      </c>
      <c r="E71" s="13"/>
    </row>
    <row r="72" spans="1:5" x14ac:dyDescent="0.25">
      <c r="A72" s="13" t="s">
        <v>370</v>
      </c>
      <c r="B72" s="13" t="s">
        <v>371</v>
      </c>
      <c r="C72" s="13" t="s">
        <v>35</v>
      </c>
      <c r="D72" s="13" t="s">
        <v>34</v>
      </c>
      <c r="E72" s="13"/>
    </row>
    <row r="73" spans="1:5" x14ac:dyDescent="0.25">
      <c r="A73" s="13" t="s">
        <v>372</v>
      </c>
      <c r="B73" s="13" t="s">
        <v>373</v>
      </c>
      <c r="C73" s="13" t="s">
        <v>35</v>
      </c>
      <c r="D73" s="13" t="s">
        <v>19</v>
      </c>
      <c r="E73" s="13"/>
    </row>
    <row r="74" spans="1:5" x14ac:dyDescent="0.25">
      <c r="A74" s="13" t="s">
        <v>372</v>
      </c>
      <c r="B74" s="13" t="s">
        <v>374</v>
      </c>
      <c r="C74" s="13" t="s">
        <v>20</v>
      </c>
      <c r="D74" s="13" t="s">
        <v>49</v>
      </c>
      <c r="E74" s="13"/>
    </row>
    <row r="75" spans="1:5" x14ac:dyDescent="0.25">
      <c r="A75" s="13" t="s">
        <v>375</v>
      </c>
      <c r="B75" s="13" t="s">
        <v>376</v>
      </c>
      <c r="C75" s="13" t="s">
        <v>35</v>
      </c>
      <c r="D75" s="13" t="s">
        <v>77</v>
      </c>
      <c r="E75" s="13"/>
    </row>
    <row r="76" spans="1:5" x14ac:dyDescent="0.25">
      <c r="A76" s="13" t="s">
        <v>377</v>
      </c>
      <c r="B76" s="13" t="s">
        <v>378</v>
      </c>
      <c r="C76" s="13" t="s">
        <v>20</v>
      </c>
      <c r="D76" s="13" t="s">
        <v>379</v>
      </c>
      <c r="E76" s="13" t="s">
        <v>311</v>
      </c>
    </row>
    <row r="77" spans="1:5" x14ac:dyDescent="0.25">
      <c r="A77" s="13" t="s">
        <v>377</v>
      </c>
      <c r="B77" s="13" t="s">
        <v>380</v>
      </c>
      <c r="C77" s="13" t="s">
        <v>35</v>
      </c>
      <c r="D77" s="13" t="s">
        <v>19</v>
      </c>
      <c r="E77" s="13" t="s">
        <v>311</v>
      </c>
    </row>
    <row r="78" spans="1:5" x14ac:dyDescent="0.25">
      <c r="A78" s="13" t="s">
        <v>377</v>
      </c>
      <c r="B78" s="13" t="s">
        <v>381</v>
      </c>
      <c r="C78" s="13" t="s">
        <v>20</v>
      </c>
      <c r="D78" s="13" t="s">
        <v>19</v>
      </c>
      <c r="E78" s="13"/>
    </row>
    <row r="79" spans="1:5" x14ac:dyDescent="0.25">
      <c r="A79" s="13" t="s">
        <v>31</v>
      </c>
      <c r="B79" s="13" t="s">
        <v>33</v>
      </c>
      <c r="C79" s="13" t="s">
        <v>35</v>
      </c>
      <c r="D79" s="13" t="s">
        <v>34</v>
      </c>
      <c r="E79" s="13" t="s">
        <v>382</v>
      </c>
    </row>
    <row r="80" spans="1:5" x14ac:dyDescent="0.25">
      <c r="A80" s="13" t="s">
        <v>47</v>
      </c>
      <c r="B80" s="13" t="s">
        <v>383</v>
      </c>
      <c r="C80" s="13" t="s">
        <v>35</v>
      </c>
      <c r="D80" s="13" t="s">
        <v>19</v>
      </c>
      <c r="E80" s="13" t="s">
        <v>382</v>
      </c>
    </row>
    <row r="81" spans="1:5" x14ac:dyDescent="0.25">
      <c r="A81" s="13" t="s">
        <v>47</v>
      </c>
      <c r="B81" s="13" t="s">
        <v>48</v>
      </c>
      <c r="C81" s="13" t="s">
        <v>50</v>
      </c>
      <c r="D81" s="13" t="s">
        <v>49</v>
      </c>
      <c r="E81" s="13"/>
    </row>
    <row r="82" spans="1:5" x14ac:dyDescent="0.25">
      <c r="A82" s="13" t="s">
        <v>384</v>
      </c>
      <c r="B82" s="13" t="s">
        <v>385</v>
      </c>
      <c r="C82" s="13"/>
      <c r="D82" s="13" t="s">
        <v>68</v>
      </c>
      <c r="E82" s="13"/>
    </row>
    <row r="83" spans="1:5" x14ac:dyDescent="0.25">
      <c r="A83" s="13" t="s">
        <v>386</v>
      </c>
      <c r="B83" s="13" t="s">
        <v>387</v>
      </c>
      <c r="C83" s="13" t="s">
        <v>35</v>
      </c>
      <c r="D83" s="13" t="s">
        <v>19</v>
      </c>
      <c r="E83" s="13"/>
    </row>
    <row r="84" spans="1:5" x14ac:dyDescent="0.25">
      <c r="A84" s="13" t="s">
        <v>386</v>
      </c>
      <c r="B84" s="13" t="s">
        <v>388</v>
      </c>
      <c r="C84" s="13" t="s">
        <v>50</v>
      </c>
      <c r="D84" s="13" t="s">
        <v>49</v>
      </c>
      <c r="E84" s="13"/>
    </row>
    <row r="85" spans="1:5" x14ac:dyDescent="0.25">
      <c r="A85" s="13" t="s">
        <v>389</v>
      </c>
      <c r="B85" s="13" t="s">
        <v>390</v>
      </c>
      <c r="C85" s="13" t="s">
        <v>35</v>
      </c>
      <c r="D85" s="13" t="s">
        <v>68</v>
      </c>
      <c r="E85" s="13" t="s">
        <v>382</v>
      </c>
    </row>
    <row r="86" spans="1:5" x14ac:dyDescent="0.25">
      <c r="A86" s="13" t="s">
        <v>391</v>
      </c>
      <c r="B86" s="13" t="s">
        <v>392</v>
      </c>
      <c r="C86" s="13" t="s">
        <v>20</v>
      </c>
      <c r="D86" s="13" t="s">
        <v>49</v>
      </c>
      <c r="E86" s="13"/>
    </row>
    <row r="87" spans="1:5" x14ac:dyDescent="0.25">
      <c r="A87" s="13" t="s">
        <v>393</v>
      </c>
      <c r="B87" s="13" t="s">
        <v>394</v>
      </c>
      <c r="C87" s="13" t="s">
        <v>50</v>
      </c>
      <c r="D87" s="13" t="s">
        <v>49</v>
      </c>
      <c r="E87" s="13"/>
    </row>
    <row r="88" spans="1:5" x14ac:dyDescent="0.25">
      <c r="A88" s="13" t="s">
        <v>395</v>
      </c>
      <c r="B88" s="13" t="s">
        <v>396</v>
      </c>
      <c r="C88" s="13" t="s">
        <v>20</v>
      </c>
      <c r="D88" s="13" t="s">
        <v>49</v>
      </c>
      <c r="E88" s="13"/>
    </row>
    <row r="89" spans="1:5" x14ac:dyDescent="0.25">
      <c r="A89" s="13" t="s">
        <v>397</v>
      </c>
      <c r="B89" s="13" t="s">
        <v>398</v>
      </c>
      <c r="C89" s="13" t="s">
        <v>35</v>
      </c>
      <c r="D89" s="13" t="s">
        <v>77</v>
      </c>
      <c r="E89" s="13" t="s">
        <v>382</v>
      </c>
    </row>
    <row r="90" spans="1:5" x14ac:dyDescent="0.25">
      <c r="A90" s="13" t="s">
        <v>55</v>
      </c>
      <c r="B90" s="13" t="s">
        <v>56</v>
      </c>
      <c r="C90" s="13" t="s">
        <v>20</v>
      </c>
      <c r="D90" s="13" t="s">
        <v>49</v>
      </c>
      <c r="E90" s="13" t="s">
        <v>399</v>
      </c>
    </row>
    <row r="91" spans="1:5" x14ac:dyDescent="0.25">
      <c r="A91" s="13" t="s">
        <v>400</v>
      </c>
      <c r="B91" s="13" t="s">
        <v>401</v>
      </c>
      <c r="C91" s="13" t="s">
        <v>20</v>
      </c>
      <c r="D91" s="13" t="s">
        <v>49</v>
      </c>
      <c r="E91" s="13" t="s">
        <v>399</v>
      </c>
    </row>
    <row r="92" spans="1:5" x14ac:dyDescent="0.25">
      <c r="A92" s="13" t="s">
        <v>402</v>
      </c>
      <c r="B92" s="13" t="s">
        <v>403</v>
      </c>
      <c r="C92" s="13" t="s">
        <v>20</v>
      </c>
      <c r="D92" s="13" t="s">
        <v>49</v>
      </c>
      <c r="E92" s="13" t="s">
        <v>399</v>
      </c>
    </row>
    <row r="93" spans="1:5" x14ac:dyDescent="0.25">
      <c r="A93" s="13" t="s">
        <v>54</v>
      </c>
      <c r="B93" s="13" t="s">
        <v>404</v>
      </c>
      <c r="C93" s="13" t="s">
        <v>20</v>
      </c>
      <c r="D93" s="13" t="s">
        <v>49</v>
      </c>
      <c r="E93" s="13" t="s">
        <v>405</v>
      </c>
    </row>
    <row r="94" spans="1:5" x14ac:dyDescent="0.25">
      <c r="A94" s="13" t="s">
        <v>406</v>
      </c>
      <c r="B94" s="13" t="s">
        <v>407</v>
      </c>
      <c r="C94" s="13" t="s">
        <v>20</v>
      </c>
      <c r="D94" s="13" t="s">
        <v>49</v>
      </c>
      <c r="E94" s="13" t="s">
        <v>405</v>
      </c>
    </row>
    <row r="95" spans="1:5" x14ac:dyDescent="0.25">
      <c r="A95" s="13" t="s">
        <v>408</v>
      </c>
      <c r="B95" s="13" t="s">
        <v>409</v>
      </c>
      <c r="C95" s="13" t="s">
        <v>20</v>
      </c>
      <c r="D95" s="13" t="s">
        <v>49</v>
      </c>
      <c r="E95" s="13" t="s">
        <v>410</v>
      </c>
    </row>
    <row r="96" spans="1:5" x14ac:dyDescent="0.25">
      <c r="A96" s="13" t="s">
        <v>411</v>
      </c>
      <c r="B96" s="13" t="s">
        <v>412</v>
      </c>
      <c r="C96" s="13" t="s">
        <v>20</v>
      </c>
      <c r="D96" s="13" t="s">
        <v>49</v>
      </c>
      <c r="E96" s="13" t="s">
        <v>410</v>
      </c>
    </row>
    <row r="97" spans="1:5" x14ac:dyDescent="0.25">
      <c r="A97" s="13" t="s">
        <v>413</v>
      </c>
      <c r="B97" s="13" t="s">
        <v>414</v>
      </c>
      <c r="C97" s="13" t="s">
        <v>35</v>
      </c>
      <c r="D97" s="13" t="s">
        <v>19</v>
      </c>
      <c r="E97" s="13" t="s">
        <v>285</v>
      </c>
    </row>
    <row r="98" spans="1:5" x14ac:dyDescent="0.25">
      <c r="A98" s="13" t="s">
        <v>61</v>
      </c>
      <c r="B98" s="13" t="s">
        <v>62</v>
      </c>
      <c r="C98" s="13" t="s">
        <v>35</v>
      </c>
      <c r="D98" s="13" t="s">
        <v>34</v>
      </c>
      <c r="E98" s="13" t="s">
        <v>415</v>
      </c>
    </row>
    <row r="99" spans="1:5" x14ac:dyDescent="0.25">
      <c r="A99" s="13" t="s">
        <v>66</v>
      </c>
      <c r="B99" s="13" t="s">
        <v>67</v>
      </c>
      <c r="C99" s="13" t="s">
        <v>35</v>
      </c>
      <c r="D99" s="13" t="s">
        <v>68</v>
      </c>
      <c r="E99" s="13" t="s">
        <v>416</v>
      </c>
    </row>
    <row r="100" spans="1:5" x14ac:dyDescent="0.25">
      <c r="A100" s="13" t="s">
        <v>417</v>
      </c>
      <c r="B100" s="13" t="s">
        <v>418</v>
      </c>
      <c r="C100" s="13" t="s">
        <v>50</v>
      </c>
      <c r="D100" s="13" t="s">
        <v>49</v>
      </c>
      <c r="E100" s="13"/>
    </row>
    <row r="101" spans="1:5" x14ac:dyDescent="0.25">
      <c r="A101" s="13" t="s">
        <v>419</v>
      </c>
      <c r="B101" s="13" t="s">
        <v>420</v>
      </c>
      <c r="C101" s="13" t="s">
        <v>50</v>
      </c>
      <c r="D101" s="13" t="s">
        <v>49</v>
      </c>
      <c r="E101" s="13"/>
    </row>
    <row r="102" spans="1:5" x14ac:dyDescent="0.25">
      <c r="A102" s="13" t="s">
        <v>71</v>
      </c>
      <c r="B102" s="13" t="s">
        <v>72</v>
      </c>
      <c r="C102" s="13" t="s">
        <v>35</v>
      </c>
      <c r="D102" s="13" t="s">
        <v>19</v>
      </c>
      <c r="E102" s="13" t="s">
        <v>421</v>
      </c>
    </row>
    <row r="103" spans="1:5" x14ac:dyDescent="0.25">
      <c r="A103" s="13" t="s">
        <v>422</v>
      </c>
      <c r="B103" s="13" t="s">
        <v>423</v>
      </c>
      <c r="C103" s="13" t="s">
        <v>174</v>
      </c>
      <c r="D103" s="13" t="s">
        <v>49</v>
      </c>
      <c r="E103" s="13" t="s">
        <v>424</v>
      </c>
    </row>
    <row r="104" spans="1:5" x14ac:dyDescent="0.25">
      <c r="A104" s="13" t="s">
        <v>425</v>
      </c>
      <c r="B104" s="13" t="s">
        <v>426</v>
      </c>
      <c r="C104" s="13" t="s">
        <v>20</v>
      </c>
      <c r="D104" s="13" t="s">
        <v>49</v>
      </c>
      <c r="E104" s="13"/>
    </row>
    <row r="105" spans="1:5" x14ac:dyDescent="0.25">
      <c r="A105" s="13" t="s">
        <v>75</v>
      </c>
      <c r="B105" s="13" t="s">
        <v>76</v>
      </c>
      <c r="C105" s="13" t="s">
        <v>35</v>
      </c>
      <c r="D105" s="13" t="s">
        <v>77</v>
      </c>
      <c r="E105" s="13" t="s">
        <v>427</v>
      </c>
    </row>
    <row r="106" spans="1:5" x14ac:dyDescent="0.25">
      <c r="A106" s="13" t="s">
        <v>75</v>
      </c>
      <c r="B106" s="13" t="s">
        <v>428</v>
      </c>
      <c r="C106" s="13" t="s">
        <v>50</v>
      </c>
      <c r="D106" s="13" t="s">
        <v>49</v>
      </c>
      <c r="E106" s="13"/>
    </row>
    <row r="107" spans="1:5" x14ac:dyDescent="0.25">
      <c r="A107" s="13" t="s">
        <v>429</v>
      </c>
      <c r="B107" s="13" t="s">
        <v>430</v>
      </c>
      <c r="C107" s="13" t="s">
        <v>20</v>
      </c>
      <c r="D107" s="13" t="s">
        <v>49</v>
      </c>
      <c r="E107" s="13"/>
    </row>
    <row r="108" spans="1:5" x14ac:dyDescent="0.25">
      <c r="A108" s="13" t="s">
        <v>142</v>
      </c>
      <c r="B108" s="13" t="s">
        <v>431</v>
      </c>
      <c r="C108" s="13"/>
      <c r="D108" s="13"/>
      <c r="E108" s="13"/>
    </row>
    <row r="109" spans="1:5" x14ac:dyDescent="0.25">
      <c r="A109" s="13" t="s">
        <v>432</v>
      </c>
      <c r="B109" s="13" t="s">
        <v>433</v>
      </c>
      <c r="C109" s="13"/>
      <c r="D109" s="13"/>
      <c r="E109" s="13"/>
    </row>
    <row r="110" spans="1:5" x14ac:dyDescent="0.25">
      <c r="A110" s="13" t="s">
        <v>432</v>
      </c>
      <c r="B110" s="13" t="s">
        <v>434</v>
      </c>
      <c r="C110" s="13" t="s">
        <v>50</v>
      </c>
      <c r="D110" s="13" t="s">
        <v>49</v>
      </c>
      <c r="E110" s="13"/>
    </row>
    <row r="111" spans="1:5" x14ac:dyDescent="0.25">
      <c r="A111" s="13" t="s">
        <v>435</v>
      </c>
      <c r="B111" s="13" t="s">
        <v>436</v>
      </c>
      <c r="C111" s="13" t="s">
        <v>20</v>
      </c>
      <c r="D111" s="13" t="s">
        <v>68</v>
      </c>
      <c r="E111" s="13" t="s">
        <v>437</v>
      </c>
    </row>
    <row r="112" spans="1:5" x14ac:dyDescent="0.25">
      <c r="A112" s="13" t="s">
        <v>435</v>
      </c>
      <c r="B112" s="13" t="s">
        <v>438</v>
      </c>
      <c r="C112" s="13" t="s">
        <v>50</v>
      </c>
      <c r="D112" s="13" t="s">
        <v>49</v>
      </c>
      <c r="E112" s="13"/>
    </row>
    <row r="113" spans="1:5" x14ac:dyDescent="0.25">
      <c r="A113" s="13" t="s">
        <v>82</v>
      </c>
      <c r="B113" s="13" t="s">
        <v>439</v>
      </c>
      <c r="C113" s="13" t="s">
        <v>35</v>
      </c>
      <c r="D113" s="13" t="s">
        <v>68</v>
      </c>
      <c r="E113" s="13" t="s">
        <v>437</v>
      </c>
    </row>
    <row r="114" spans="1:5" x14ac:dyDescent="0.25">
      <c r="A114" s="13" t="s">
        <v>82</v>
      </c>
      <c r="B114" s="13" t="s">
        <v>440</v>
      </c>
      <c r="C114" s="13" t="s">
        <v>20</v>
      </c>
      <c r="D114" s="13" t="s">
        <v>49</v>
      </c>
      <c r="E114" s="13"/>
    </row>
    <row r="115" spans="1:5" x14ac:dyDescent="0.25">
      <c r="A115" s="13" t="s">
        <v>82</v>
      </c>
      <c r="B115" s="13" t="s">
        <v>441</v>
      </c>
      <c r="C115" s="13" t="s">
        <v>20</v>
      </c>
      <c r="D115" s="13" t="s">
        <v>49</v>
      </c>
      <c r="E115" s="13" t="s">
        <v>442</v>
      </c>
    </row>
    <row r="116" spans="1:5" x14ac:dyDescent="0.25">
      <c r="A116" s="13" t="s">
        <v>443</v>
      </c>
      <c r="B116" s="13" t="s">
        <v>444</v>
      </c>
      <c r="C116" s="13" t="s">
        <v>50</v>
      </c>
      <c r="D116" s="13" t="s">
        <v>49</v>
      </c>
      <c r="E116" s="13" t="s">
        <v>445</v>
      </c>
    </row>
    <row r="117" spans="1:5" x14ac:dyDescent="0.25">
      <c r="A117" s="13" t="s">
        <v>105</v>
      </c>
      <c r="B117" s="13" t="s">
        <v>106</v>
      </c>
      <c r="C117" s="13" t="s">
        <v>20</v>
      </c>
      <c r="D117" s="13" t="s">
        <v>446</v>
      </c>
      <c r="E117" s="13"/>
    </row>
    <row r="118" spans="1:5" x14ac:dyDescent="0.25">
      <c r="A118" s="13" t="s">
        <v>447</v>
      </c>
      <c r="B118" s="13" t="s">
        <v>448</v>
      </c>
      <c r="C118" s="13" t="s">
        <v>20</v>
      </c>
      <c r="D118" s="13" t="s">
        <v>49</v>
      </c>
      <c r="E118" s="13"/>
    </row>
    <row r="119" spans="1:5" x14ac:dyDescent="0.25">
      <c r="A119" s="13" t="s">
        <v>449</v>
      </c>
      <c r="B119" s="13" t="s">
        <v>450</v>
      </c>
      <c r="C119" s="13" t="s">
        <v>35</v>
      </c>
      <c r="D119" s="13" t="s">
        <v>68</v>
      </c>
      <c r="E119" s="13" t="s">
        <v>451</v>
      </c>
    </row>
    <row r="120" spans="1:5" x14ac:dyDescent="0.25">
      <c r="A120" s="13" t="s">
        <v>452</v>
      </c>
      <c r="B120" s="13" t="s">
        <v>453</v>
      </c>
      <c r="C120" s="13"/>
      <c r="D120" s="13" t="s">
        <v>77</v>
      </c>
      <c r="E120" s="13"/>
    </row>
    <row r="121" spans="1:5" x14ac:dyDescent="0.25">
      <c r="A121" s="13" t="s">
        <v>454</v>
      </c>
      <c r="B121" s="13" t="s">
        <v>455</v>
      </c>
      <c r="C121" s="13" t="s">
        <v>20</v>
      </c>
      <c r="D121" s="13" t="s">
        <v>49</v>
      </c>
      <c r="E121" s="13"/>
    </row>
    <row r="122" spans="1:5" x14ac:dyDescent="0.25">
      <c r="A122" s="13" t="s">
        <v>456</v>
      </c>
      <c r="B122" s="13" t="s">
        <v>457</v>
      </c>
      <c r="C122" s="13" t="s">
        <v>35</v>
      </c>
      <c r="D122" s="13" t="s">
        <v>68</v>
      </c>
      <c r="E122" s="13" t="s">
        <v>458</v>
      </c>
    </row>
    <row r="123" spans="1:5" x14ac:dyDescent="0.25">
      <c r="A123" s="13" t="s">
        <v>459</v>
      </c>
      <c r="B123" s="13" t="s">
        <v>460</v>
      </c>
      <c r="C123" s="13" t="s">
        <v>20</v>
      </c>
      <c r="D123" s="13" t="s">
        <v>49</v>
      </c>
      <c r="E123" s="13"/>
    </row>
    <row r="124" spans="1:5" x14ac:dyDescent="0.25">
      <c r="A124" s="13" t="s">
        <v>459</v>
      </c>
      <c r="B124" s="13" t="s">
        <v>461</v>
      </c>
      <c r="C124" s="13" t="s">
        <v>20</v>
      </c>
      <c r="D124" s="13" t="s">
        <v>49</v>
      </c>
      <c r="E124" s="13"/>
    </row>
    <row r="125" spans="1:5" x14ac:dyDescent="0.25">
      <c r="A125" s="13" t="s">
        <v>80</v>
      </c>
      <c r="B125" s="13" t="s">
        <v>462</v>
      </c>
      <c r="C125" s="13" t="s">
        <v>35</v>
      </c>
      <c r="D125" s="13" t="s">
        <v>77</v>
      </c>
      <c r="E125" s="13" t="s">
        <v>451</v>
      </c>
    </row>
    <row r="126" spans="1:5" x14ac:dyDescent="0.25">
      <c r="A126" s="13" t="s">
        <v>463</v>
      </c>
      <c r="B126" s="13" t="s">
        <v>464</v>
      </c>
      <c r="C126" s="13" t="s">
        <v>20</v>
      </c>
      <c r="D126" s="13" t="s">
        <v>49</v>
      </c>
      <c r="E126" s="13"/>
    </row>
    <row r="127" spans="1:5" x14ac:dyDescent="0.25">
      <c r="A127" s="13" t="s">
        <v>89</v>
      </c>
      <c r="B127" s="13" t="s">
        <v>465</v>
      </c>
      <c r="C127" s="13" t="s">
        <v>35</v>
      </c>
      <c r="D127" s="13" t="s">
        <v>68</v>
      </c>
      <c r="E127" s="13"/>
    </row>
    <row r="128" spans="1:5" x14ac:dyDescent="0.25">
      <c r="A128" s="13" t="s">
        <v>466</v>
      </c>
      <c r="B128" s="13" t="s">
        <v>467</v>
      </c>
      <c r="C128" s="13"/>
      <c r="D128" s="13" t="s">
        <v>49</v>
      </c>
      <c r="E128" s="13"/>
    </row>
    <row r="129" spans="1:5" x14ac:dyDescent="0.25">
      <c r="A129" s="13" t="s">
        <v>468</v>
      </c>
      <c r="B129" s="13" t="s">
        <v>469</v>
      </c>
      <c r="C129" s="13" t="s">
        <v>35</v>
      </c>
      <c r="D129" s="13" t="s">
        <v>68</v>
      </c>
      <c r="E129" s="13" t="s">
        <v>470</v>
      </c>
    </row>
    <row r="130" spans="1:5" x14ac:dyDescent="0.25">
      <c r="A130" s="13" t="s">
        <v>468</v>
      </c>
      <c r="B130" s="13" t="s">
        <v>471</v>
      </c>
      <c r="C130" s="13" t="s">
        <v>20</v>
      </c>
      <c r="D130" s="13" t="s">
        <v>49</v>
      </c>
      <c r="E130" s="13"/>
    </row>
    <row r="131" spans="1:5" x14ac:dyDescent="0.25">
      <c r="A131" s="13" t="s">
        <v>472</v>
      </c>
      <c r="B131" s="13" t="s">
        <v>473</v>
      </c>
      <c r="C131" s="13" t="s">
        <v>35</v>
      </c>
      <c r="D131" s="13" t="s">
        <v>275</v>
      </c>
      <c r="E131" s="13" t="s">
        <v>474</v>
      </c>
    </row>
    <row r="132" spans="1:5" x14ac:dyDescent="0.25">
      <c r="A132" s="13" t="s">
        <v>475</v>
      </c>
      <c r="B132" s="13" t="s">
        <v>476</v>
      </c>
      <c r="C132" s="13" t="s">
        <v>35</v>
      </c>
      <c r="D132" s="13" t="s">
        <v>19</v>
      </c>
      <c r="E132" s="13" t="s">
        <v>477</v>
      </c>
    </row>
    <row r="133" spans="1:5" x14ac:dyDescent="0.25">
      <c r="A133" s="13" t="s">
        <v>478</v>
      </c>
      <c r="B133" s="13" t="s">
        <v>479</v>
      </c>
      <c r="C133" s="13" t="s">
        <v>35</v>
      </c>
      <c r="D133" s="13" t="s">
        <v>275</v>
      </c>
      <c r="E133" s="13" t="s">
        <v>474</v>
      </c>
    </row>
    <row r="134" spans="1:5" x14ac:dyDescent="0.25">
      <c r="A134" s="13" t="s">
        <v>95</v>
      </c>
      <c r="B134" s="13" t="s">
        <v>96</v>
      </c>
      <c r="C134" s="13" t="s">
        <v>35</v>
      </c>
      <c r="D134" s="13" t="s">
        <v>77</v>
      </c>
      <c r="E134" s="13" t="s">
        <v>480</v>
      </c>
    </row>
    <row r="135" spans="1:5" x14ac:dyDescent="0.25">
      <c r="A135" s="13" t="s">
        <v>481</v>
      </c>
      <c r="B135" s="13" t="s">
        <v>479</v>
      </c>
      <c r="C135" s="13" t="s">
        <v>35</v>
      </c>
      <c r="D135" s="13" t="s">
        <v>275</v>
      </c>
      <c r="E135" s="13" t="s">
        <v>474</v>
      </c>
    </row>
    <row r="136" spans="1:5" x14ac:dyDescent="0.25">
      <c r="A136" s="13" t="s">
        <v>482</v>
      </c>
      <c r="B136" s="13" t="s">
        <v>479</v>
      </c>
      <c r="C136" s="13" t="s">
        <v>35</v>
      </c>
      <c r="D136" s="13" t="s">
        <v>275</v>
      </c>
      <c r="E136" s="13" t="s">
        <v>474</v>
      </c>
    </row>
    <row r="137" spans="1:5" x14ac:dyDescent="0.25">
      <c r="A137" s="13" t="s">
        <v>94</v>
      </c>
      <c r="B137" s="13" t="s">
        <v>473</v>
      </c>
      <c r="C137" s="13" t="s">
        <v>35</v>
      </c>
      <c r="D137" s="13" t="s">
        <v>275</v>
      </c>
      <c r="E137" s="13" t="s">
        <v>474</v>
      </c>
    </row>
    <row r="138" spans="1:5" x14ac:dyDescent="0.25">
      <c r="A138" s="13" t="s">
        <v>483</v>
      </c>
      <c r="B138" s="13" t="s">
        <v>479</v>
      </c>
      <c r="C138" s="13" t="s">
        <v>35</v>
      </c>
      <c r="D138" s="13" t="s">
        <v>275</v>
      </c>
      <c r="E138" s="13" t="s">
        <v>474</v>
      </c>
    </row>
    <row r="139" spans="1:5" x14ac:dyDescent="0.25">
      <c r="A139" s="13" t="s">
        <v>484</v>
      </c>
      <c r="B139" s="13" t="s">
        <v>485</v>
      </c>
      <c r="C139" s="13" t="s">
        <v>20</v>
      </c>
      <c r="D139" s="13" t="s">
        <v>49</v>
      </c>
      <c r="E139" s="13" t="s">
        <v>486</v>
      </c>
    </row>
    <row r="140" spans="1:5" x14ac:dyDescent="0.25">
      <c r="A140" s="13" t="s">
        <v>487</v>
      </c>
      <c r="B140" s="13" t="s">
        <v>479</v>
      </c>
      <c r="C140" s="13" t="s">
        <v>35</v>
      </c>
      <c r="D140" s="13" t="s">
        <v>275</v>
      </c>
      <c r="E140" s="13" t="s">
        <v>474</v>
      </c>
    </row>
    <row r="141" spans="1:5" x14ac:dyDescent="0.25">
      <c r="A141" s="13" t="s">
        <v>488</v>
      </c>
      <c r="B141" s="13" t="s">
        <v>479</v>
      </c>
      <c r="C141" s="13" t="s">
        <v>35</v>
      </c>
      <c r="D141" s="13" t="s">
        <v>275</v>
      </c>
      <c r="E141" s="13" t="s">
        <v>474</v>
      </c>
    </row>
    <row r="142" spans="1:5" x14ac:dyDescent="0.25">
      <c r="A142" s="13" t="s">
        <v>488</v>
      </c>
      <c r="B142" s="13" t="s">
        <v>489</v>
      </c>
      <c r="C142" s="13" t="s">
        <v>20</v>
      </c>
      <c r="D142" s="13" t="s">
        <v>49</v>
      </c>
      <c r="E142" s="13"/>
    </row>
    <row r="143" spans="1:5" x14ac:dyDescent="0.25">
      <c r="A143" s="13" t="s">
        <v>103</v>
      </c>
      <c r="B143" s="13" t="s">
        <v>490</v>
      </c>
      <c r="C143" s="13" t="s">
        <v>50</v>
      </c>
      <c r="D143" s="13" t="s">
        <v>49</v>
      </c>
      <c r="E143" s="13"/>
    </row>
    <row r="144" spans="1:5" x14ac:dyDescent="0.25">
      <c r="A144" s="13" t="s">
        <v>491</v>
      </c>
      <c r="B144" s="13" t="s">
        <v>479</v>
      </c>
      <c r="C144" s="13" t="s">
        <v>35</v>
      </c>
      <c r="D144" s="13" t="s">
        <v>275</v>
      </c>
      <c r="E144" s="13" t="s">
        <v>474</v>
      </c>
    </row>
    <row r="145" spans="1:5" x14ac:dyDescent="0.25">
      <c r="A145" s="13" t="s">
        <v>492</v>
      </c>
      <c r="B145" s="13" t="s">
        <v>479</v>
      </c>
      <c r="C145" s="13" t="s">
        <v>35</v>
      </c>
      <c r="D145" s="13" t="s">
        <v>275</v>
      </c>
      <c r="E145" s="13" t="s">
        <v>474</v>
      </c>
    </row>
    <row r="146" spans="1:5" x14ac:dyDescent="0.25">
      <c r="A146" s="13" t="s">
        <v>492</v>
      </c>
      <c r="B146" s="13" t="s">
        <v>493</v>
      </c>
      <c r="C146" s="13" t="s">
        <v>20</v>
      </c>
      <c r="D146" s="13" t="s">
        <v>49</v>
      </c>
      <c r="E146" s="13"/>
    </row>
    <row r="147" spans="1:5" x14ac:dyDescent="0.25">
      <c r="A147" s="13" t="s">
        <v>494</v>
      </c>
      <c r="B147" s="13" t="s">
        <v>495</v>
      </c>
      <c r="C147" s="13" t="s">
        <v>35</v>
      </c>
      <c r="D147" s="13" t="s">
        <v>68</v>
      </c>
      <c r="E147" s="13" t="s">
        <v>496</v>
      </c>
    </row>
    <row r="148" spans="1:5" x14ac:dyDescent="0.25">
      <c r="A148" s="13" t="s">
        <v>497</v>
      </c>
      <c r="B148" s="13" t="s">
        <v>498</v>
      </c>
      <c r="C148" s="13" t="s">
        <v>35</v>
      </c>
      <c r="D148" s="13" t="s">
        <v>19</v>
      </c>
      <c r="E148" s="13" t="s">
        <v>496</v>
      </c>
    </row>
    <row r="149" spans="1:5" x14ac:dyDescent="0.25">
      <c r="A149" s="13" t="s">
        <v>499</v>
      </c>
      <c r="B149" s="13" t="s">
        <v>479</v>
      </c>
      <c r="C149" s="13" t="s">
        <v>35</v>
      </c>
      <c r="D149" s="13" t="s">
        <v>275</v>
      </c>
      <c r="E149" s="13" t="s">
        <v>474</v>
      </c>
    </row>
    <row r="150" spans="1:5" x14ac:dyDescent="0.25">
      <c r="A150" s="13" t="s">
        <v>500</v>
      </c>
      <c r="B150" s="13" t="s">
        <v>479</v>
      </c>
      <c r="C150" s="13" t="s">
        <v>35</v>
      </c>
      <c r="D150" s="13" t="s">
        <v>275</v>
      </c>
      <c r="E150" s="13" t="s">
        <v>474</v>
      </c>
    </row>
    <row r="151" spans="1:5" x14ac:dyDescent="0.25">
      <c r="A151" s="13" t="s">
        <v>501</v>
      </c>
      <c r="B151" s="13" t="s">
        <v>502</v>
      </c>
      <c r="C151" s="13" t="s">
        <v>35</v>
      </c>
      <c r="D151" s="13" t="s">
        <v>34</v>
      </c>
      <c r="E151" s="13" t="s">
        <v>496</v>
      </c>
    </row>
    <row r="152" spans="1:5" x14ac:dyDescent="0.25">
      <c r="A152" s="13" t="s">
        <v>503</v>
      </c>
      <c r="B152" s="13" t="s">
        <v>504</v>
      </c>
      <c r="C152" s="13" t="s">
        <v>50</v>
      </c>
      <c r="D152" s="13" t="s">
        <v>68</v>
      </c>
      <c r="E152" s="13" t="s">
        <v>311</v>
      </c>
    </row>
    <row r="153" spans="1:5" x14ac:dyDescent="0.25">
      <c r="A153" s="13" t="s">
        <v>505</v>
      </c>
      <c r="B153" s="13" t="s">
        <v>479</v>
      </c>
      <c r="C153" s="13" t="s">
        <v>35</v>
      </c>
      <c r="D153" s="13" t="s">
        <v>275</v>
      </c>
      <c r="E153" s="13" t="s">
        <v>474</v>
      </c>
    </row>
    <row r="154" spans="1:5" x14ac:dyDescent="0.25">
      <c r="A154" s="13" t="s">
        <v>112</v>
      </c>
      <c r="B154" s="13" t="s">
        <v>113</v>
      </c>
      <c r="C154" s="13" t="s">
        <v>35</v>
      </c>
      <c r="D154" s="13" t="s">
        <v>68</v>
      </c>
      <c r="E154" s="13" t="s">
        <v>506</v>
      </c>
    </row>
    <row r="155" spans="1:5" x14ac:dyDescent="0.25">
      <c r="A155" s="13" t="s">
        <v>111</v>
      </c>
      <c r="B155" s="13" t="s">
        <v>479</v>
      </c>
      <c r="C155" s="13" t="s">
        <v>35</v>
      </c>
      <c r="D155" s="13" t="s">
        <v>275</v>
      </c>
      <c r="E155" s="13" t="s">
        <v>474</v>
      </c>
    </row>
    <row r="156" spans="1:5" x14ac:dyDescent="0.25">
      <c r="A156" s="13" t="s">
        <v>507</v>
      </c>
      <c r="B156" s="13" t="s">
        <v>508</v>
      </c>
      <c r="C156" s="13" t="s">
        <v>20</v>
      </c>
      <c r="D156" s="13" t="s">
        <v>49</v>
      </c>
      <c r="E156" s="13"/>
    </row>
    <row r="157" spans="1:5" x14ac:dyDescent="0.25">
      <c r="A157" s="13" t="s">
        <v>509</v>
      </c>
      <c r="B157" s="13" t="s">
        <v>510</v>
      </c>
      <c r="C157" s="13" t="s">
        <v>35</v>
      </c>
      <c r="D157" s="13" t="s">
        <v>77</v>
      </c>
      <c r="E157" s="13" t="s">
        <v>496</v>
      </c>
    </row>
    <row r="158" spans="1:5" x14ac:dyDescent="0.25">
      <c r="A158" s="13" t="s">
        <v>511</v>
      </c>
      <c r="B158" s="13" t="s">
        <v>479</v>
      </c>
      <c r="C158" s="13" t="s">
        <v>35</v>
      </c>
      <c r="D158" s="13" t="s">
        <v>275</v>
      </c>
      <c r="E158" s="13" t="s">
        <v>474</v>
      </c>
    </row>
    <row r="159" spans="1:5" x14ac:dyDescent="0.25">
      <c r="A159" s="13" t="s">
        <v>512</v>
      </c>
      <c r="B159" s="13" t="s">
        <v>473</v>
      </c>
      <c r="C159" s="13" t="s">
        <v>35</v>
      </c>
      <c r="D159" s="13" t="s">
        <v>275</v>
      </c>
      <c r="E159" s="13" t="s">
        <v>474</v>
      </c>
    </row>
    <row r="160" spans="1:5" x14ac:dyDescent="0.25">
      <c r="A160" s="13" t="s">
        <v>513</v>
      </c>
      <c r="B160" s="13" t="s">
        <v>479</v>
      </c>
      <c r="C160" s="13" t="s">
        <v>35</v>
      </c>
      <c r="D160" s="13" t="s">
        <v>275</v>
      </c>
      <c r="E160" s="13" t="s">
        <v>474</v>
      </c>
    </row>
    <row r="161" spans="1:5" x14ac:dyDescent="0.25">
      <c r="A161" s="13" t="s">
        <v>514</v>
      </c>
      <c r="B161" s="13" t="s">
        <v>479</v>
      </c>
      <c r="C161" s="13" t="s">
        <v>35</v>
      </c>
      <c r="D161" s="13" t="s">
        <v>275</v>
      </c>
      <c r="E161" s="13" t="s">
        <v>474</v>
      </c>
    </row>
    <row r="162" spans="1:5" x14ac:dyDescent="0.25">
      <c r="A162" s="13" t="s">
        <v>515</v>
      </c>
      <c r="B162" s="13" t="s">
        <v>516</v>
      </c>
      <c r="C162" s="13" t="s">
        <v>35</v>
      </c>
      <c r="D162" s="13" t="s">
        <v>275</v>
      </c>
      <c r="E162" s="13" t="s">
        <v>474</v>
      </c>
    </row>
    <row r="163" spans="1:5" x14ac:dyDescent="0.25">
      <c r="A163" s="13" t="s">
        <v>125</v>
      </c>
      <c r="B163" s="13" t="s">
        <v>126</v>
      </c>
      <c r="C163" s="13" t="s">
        <v>35</v>
      </c>
      <c r="D163" s="13" t="s">
        <v>68</v>
      </c>
      <c r="E163" s="13" t="s">
        <v>517</v>
      </c>
    </row>
    <row r="164" spans="1:5" x14ac:dyDescent="0.25">
      <c r="A164" s="13" t="s">
        <v>117</v>
      </c>
      <c r="B164" s="13" t="s">
        <v>119</v>
      </c>
      <c r="C164" s="13" t="s">
        <v>35</v>
      </c>
      <c r="D164" s="13" t="s">
        <v>518</v>
      </c>
      <c r="E164" s="13" t="s">
        <v>517</v>
      </c>
    </row>
    <row r="165" spans="1:5" x14ac:dyDescent="0.25">
      <c r="A165" s="13" t="s">
        <v>519</v>
      </c>
      <c r="B165" s="13" t="s">
        <v>520</v>
      </c>
      <c r="C165" s="13" t="s">
        <v>20</v>
      </c>
      <c r="D165" s="13" t="s">
        <v>49</v>
      </c>
      <c r="E165" s="13" t="s">
        <v>474</v>
      </c>
    </row>
    <row r="166" spans="1:5" x14ac:dyDescent="0.25">
      <c r="A166" s="13" t="s">
        <v>132</v>
      </c>
      <c r="B166" s="13" t="s">
        <v>521</v>
      </c>
      <c r="C166" s="13" t="s">
        <v>35</v>
      </c>
      <c r="D166" s="13"/>
      <c r="E166" s="13"/>
    </row>
    <row r="167" spans="1:5" x14ac:dyDescent="0.25">
      <c r="A167" s="13" t="s">
        <v>522</v>
      </c>
      <c r="B167" s="13" t="s">
        <v>523</v>
      </c>
      <c r="C167" s="13" t="s">
        <v>35</v>
      </c>
      <c r="D167" s="13" t="s">
        <v>275</v>
      </c>
      <c r="E167" s="13" t="s">
        <v>524</v>
      </c>
    </row>
    <row r="168" spans="1:5" x14ac:dyDescent="0.25">
      <c r="A168" s="13" t="s">
        <v>137</v>
      </c>
      <c r="B168" s="13" t="s">
        <v>525</v>
      </c>
      <c r="C168" s="13" t="s">
        <v>20</v>
      </c>
      <c r="D168" s="13" t="s">
        <v>68</v>
      </c>
      <c r="E168" s="13"/>
    </row>
    <row r="169" spans="1:5" x14ac:dyDescent="0.25">
      <c r="A169" s="13" t="s">
        <v>137</v>
      </c>
      <c r="B169" s="13" t="s">
        <v>526</v>
      </c>
      <c r="C169" s="13"/>
      <c r="D169" s="13"/>
      <c r="E169" s="13"/>
    </row>
    <row r="170" spans="1:5" x14ac:dyDescent="0.25">
      <c r="A170" s="13" t="s">
        <v>527</v>
      </c>
      <c r="B170" s="13" t="s">
        <v>528</v>
      </c>
      <c r="C170" s="13" t="s">
        <v>20</v>
      </c>
      <c r="D170" s="13" t="s">
        <v>49</v>
      </c>
      <c r="E170" s="13"/>
    </row>
    <row r="171" spans="1:5" x14ac:dyDescent="0.25">
      <c r="A171" s="13" t="s">
        <v>148</v>
      </c>
      <c r="B171" s="13" t="s">
        <v>529</v>
      </c>
      <c r="C171" s="13" t="s">
        <v>50</v>
      </c>
      <c r="D171" s="13" t="s">
        <v>49</v>
      </c>
      <c r="E171" s="13" t="s">
        <v>506</v>
      </c>
    </row>
    <row r="172" spans="1:5" x14ac:dyDescent="0.25">
      <c r="A172" s="13" t="s">
        <v>530</v>
      </c>
      <c r="B172" s="13" t="s">
        <v>531</v>
      </c>
      <c r="C172" s="13" t="s">
        <v>20</v>
      </c>
      <c r="D172" s="13" t="s">
        <v>49</v>
      </c>
      <c r="E172" s="13"/>
    </row>
    <row r="173" spans="1:5" x14ac:dyDescent="0.25">
      <c r="A173" s="13" t="s">
        <v>532</v>
      </c>
      <c r="B173" s="13" t="s">
        <v>533</v>
      </c>
      <c r="C173" s="13" t="s">
        <v>20</v>
      </c>
      <c r="D173" s="13" t="s">
        <v>49</v>
      </c>
      <c r="E173" s="13"/>
    </row>
    <row r="174" spans="1:5" x14ac:dyDescent="0.25">
      <c r="A174" s="13" t="s">
        <v>534</v>
      </c>
      <c r="B174" s="13" t="s">
        <v>535</v>
      </c>
      <c r="C174" s="13" t="s">
        <v>35</v>
      </c>
      <c r="D174" s="13"/>
      <c r="E174" s="13"/>
    </row>
    <row r="175" spans="1:5" x14ac:dyDescent="0.25">
      <c r="A175" s="13" t="s">
        <v>536</v>
      </c>
      <c r="B175" s="13" t="s">
        <v>537</v>
      </c>
      <c r="C175" s="13" t="s">
        <v>20</v>
      </c>
      <c r="D175" s="13" t="s">
        <v>49</v>
      </c>
      <c r="E175" s="13"/>
    </row>
    <row r="176" spans="1:5" x14ac:dyDescent="0.25">
      <c r="A176" s="13" t="s">
        <v>536</v>
      </c>
      <c r="B176" s="13" t="s">
        <v>538</v>
      </c>
      <c r="C176" s="13" t="s">
        <v>35</v>
      </c>
      <c r="D176" s="13" t="s">
        <v>68</v>
      </c>
      <c r="E176" s="13"/>
    </row>
    <row r="177" spans="1:5" x14ac:dyDescent="0.25">
      <c r="A177" s="13" t="s">
        <v>172</v>
      </c>
      <c r="B177" s="13" t="s">
        <v>173</v>
      </c>
      <c r="C177" s="13" t="s">
        <v>174</v>
      </c>
      <c r="D177" s="13" t="s">
        <v>49</v>
      </c>
      <c r="E177" s="13" t="s">
        <v>539</v>
      </c>
    </row>
    <row r="178" spans="1:5" x14ac:dyDescent="0.25">
      <c r="A178" s="13" t="s">
        <v>540</v>
      </c>
      <c r="B178" s="13" t="s">
        <v>541</v>
      </c>
      <c r="C178" s="13"/>
      <c r="D178" s="13" t="s">
        <v>49</v>
      </c>
      <c r="E178" s="13"/>
    </row>
    <row r="179" spans="1:5" x14ac:dyDescent="0.25">
      <c r="A179" s="13" t="s">
        <v>542</v>
      </c>
      <c r="B179" s="13" t="s">
        <v>543</v>
      </c>
      <c r="C179" s="13" t="s">
        <v>174</v>
      </c>
      <c r="D179" s="13" t="s">
        <v>49</v>
      </c>
      <c r="E179" s="13" t="s">
        <v>544</v>
      </c>
    </row>
    <row r="180" spans="1:5" x14ac:dyDescent="0.25">
      <c r="A180" s="13" t="s">
        <v>166</v>
      </c>
      <c r="B180" s="13" t="s">
        <v>545</v>
      </c>
      <c r="C180" s="13" t="s">
        <v>20</v>
      </c>
      <c r="D180" s="13" t="s">
        <v>49</v>
      </c>
      <c r="E180" s="13"/>
    </row>
    <row r="181" spans="1:5" x14ac:dyDescent="0.25">
      <c r="A181" s="13" t="s">
        <v>166</v>
      </c>
      <c r="B181" s="13" t="s">
        <v>546</v>
      </c>
      <c r="C181" s="13" t="s">
        <v>35</v>
      </c>
      <c r="D181" s="13" t="s">
        <v>68</v>
      </c>
      <c r="E181" s="13" t="s">
        <v>547</v>
      </c>
    </row>
    <row r="182" spans="1:5" x14ac:dyDescent="0.25">
      <c r="A182" s="13" t="s">
        <v>548</v>
      </c>
      <c r="B182" s="13" t="s">
        <v>549</v>
      </c>
      <c r="C182" s="13" t="s">
        <v>35</v>
      </c>
      <c r="D182" s="13"/>
      <c r="E182" s="13"/>
    </row>
    <row r="183" spans="1:5" x14ac:dyDescent="0.25">
      <c r="A183" s="13" t="s">
        <v>164</v>
      </c>
      <c r="B183" s="13" t="s">
        <v>550</v>
      </c>
      <c r="C183" s="13" t="s">
        <v>35</v>
      </c>
      <c r="D183" s="13"/>
      <c r="E183" s="13" t="s">
        <v>551</v>
      </c>
    </row>
    <row r="184" spans="1:5" x14ac:dyDescent="0.25">
      <c r="A184" s="13" t="s">
        <v>552</v>
      </c>
      <c r="B184" s="13" t="s">
        <v>553</v>
      </c>
      <c r="C184" s="13" t="s">
        <v>35</v>
      </c>
      <c r="D184" s="13"/>
      <c r="E184" s="13"/>
    </row>
    <row r="185" spans="1:5" x14ac:dyDescent="0.25">
      <c r="A185" s="13" t="s">
        <v>552</v>
      </c>
      <c r="B185" s="13" t="s">
        <v>554</v>
      </c>
      <c r="C185" s="13" t="s">
        <v>35</v>
      </c>
      <c r="D185" s="13" t="s">
        <v>77</v>
      </c>
      <c r="E185" s="13" t="s">
        <v>496</v>
      </c>
    </row>
    <row r="186" spans="1:5" x14ac:dyDescent="0.25">
      <c r="A186" s="13" t="s">
        <v>552</v>
      </c>
      <c r="B186" s="13" t="s">
        <v>555</v>
      </c>
      <c r="C186" s="13" t="s">
        <v>35</v>
      </c>
      <c r="D186" s="13" t="s">
        <v>68</v>
      </c>
      <c r="E186" s="13"/>
    </row>
    <row r="187" spans="1:5" x14ac:dyDescent="0.25">
      <c r="A187" s="13" t="s">
        <v>552</v>
      </c>
      <c r="B187" s="13" t="s">
        <v>556</v>
      </c>
      <c r="C187" s="13" t="s">
        <v>50</v>
      </c>
      <c r="D187" s="13" t="s">
        <v>49</v>
      </c>
      <c r="E187" s="13" t="s">
        <v>442</v>
      </c>
    </row>
    <row r="188" spans="1:5" x14ac:dyDescent="0.25">
      <c r="A188" s="13" t="s">
        <v>557</v>
      </c>
      <c r="B188" s="13" t="s">
        <v>558</v>
      </c>
      <c r="C188" s="13" t="s">
        <v>50</v>
      </c>
      <c r="D188" s="13" t="s">
        <v>68</v>
      </c>
      <c r="E188" s="13" t="s">
        <v>559</v>
      </c>
    </row>
    <row r="189" spans="1:5" x14ac:dyDescent="0.25">
      <c r="A189" s="13" t="s">
        <v>557</v>
      </c>
      <c r="B189" s="13" t="s">
        <v>560</v>
      </c>
      <c r="C189" s="13" t="s">
        <v>35</v>
      </c>
      <c r="D189" s="13" t="s">
        <v>68</v>
      </c>
      <c r="E189" s="13"/>
    </row>
    <row r="190" spans="1:5" x14ac:dyDescent="0.25">
      <c r="A190" s="13" t="s">
        <v>561</v>
      </c>
      <c r="B190" s="13" t="s">
        <v>562</v>
      </c>
      <c r="C190" s="13" t="s">
        <v>35</v>
      </c>
      <c r="D190" s="13" t="s">
        <v>68</v>
      </c>
      <c r="E190" s="13"/>
    </row>
    <row r="191" spans="1:5" x14ac:dyDescent="0.25">
      <c r="A191" s="13" t="s">
        <v>563</v>
      </c>
      <c r="B191" s="13" t="s">
        <v>564</v>
      </c>
      <c r="C191" s="13" t="s">
        <v>35</v>
      </c>
      <c r="D191" s="13" t="s">
        <v>68</v>
      </c>
      <c r="E191" s="13"/>
    </row>
    <row r="192" spans="1:5" x14ac:dyDescent="0.25">
      <c r="A192" s="13" t="s">
        <v>565</v>
      </c>
      <c r="B192" s="13" t="s">
        <v>566</v>
      </c>
      <c r="C192" s="13" t="s">
        <v>35</v>
      </c>
      <c r="D192" s="13" t="s">
        <v>68</v>
      </c>
      <c r="E192" s="13"/>
    </row>
    <row r="193" spans="1:5" x14ac:dyDescent="0.25">
      <c r="A193" s="13" t="s">
        <v>567</v>
      </c>
      <c r="B193" s="13" t="s">
        <v>568</v>
      </c>
      <c r="C193" s="13" t="s">
        <v>35</v>
      </c>
      <c r="D193" s="13" t="s">
        <v>68</v>
      </c>
      <c r="E193" s="13"/>
    </row>
    <row r="194" spans="1:5" x14ac:dyDescent="0.25">
      <c r="A194" s="13" t="s">
        <v>569</v>
      </c>
      <c r="B194" s="13" t="s">
        <v>570</v>
      </c>
      <c r="C194" s="13" t="s">
        <v>35</v>
      </c>
      <c r="D194" s="13"/>
      <c r="E194" s="13"/>
    </row>
    <row r="195" spans="1:5" x14ac:dyDescent="0.25">
      <c r="A195" s="13" t="s">
        <v>569</v>
      </c>
      <c r="B195" s="13" t="s">
        <v>571</v>
      </c>
      <c r="C195" s="13"/>
      <c r="D195" s="13"/>
      <c r="E195" s="13" t="s">
        <v>539</v>
      </c>
    </row>
    <row r="196" spans="1:5" x14ac:dyDescent="0.25">
      <c r="A196" s="13" t="s">
        <v>572</v>
      </c>
      <c r="B196" s="13" t="s">
        <v>573</v>
      </c>
      <c r="C196" s="13" t="s">
        <v>35</v>
      </c>
      <c r="D196" s="13"/>
      <c r="E196" s="13"/>
    </row>
    <row r="197" spans="1:5" x14ac:dyDescent="0.25">
      <c r="A197" s="13" t="s">
        <v>572</v>
      </c>
      <c r="B197" s="13" t="s">
        <v>574</v>
      </c>
      <c r="C197" s="13" t="s">
        <v>35</v>
      </c>
      <c r="D197" s="13" t="s">
        <v>68</v>
      </c>
      <c r="E197" s="13" t="s">
        <v>311</v>
      </c>
    </row>
    <row r="198" spans="1:5" x14ac:dyDescent="0.25">
      <c r="A198" s="13" t="s">
        <v>575</v>
      </c>
      <c r="B198" s="13" t="s">
        <v>576</v>
      </c>
      <c r="C198" s="13"/>
      <c r="D198" s="13"/>
      <c r="E198" s="13"/>
    </row>
    <row r="199" spans="1:5" x14ac:dyDescent="0.25">
      <c r="A199" s="13" t="s">
        <v>183</v>
      </c>
      <c r="B199" s="13" t="s">
        <v>577</v>
      </c>
      <c r="C199" s="13" t="s">
        <v>35</v>
      </c>
      <c r="D199" s="13"/>
      <c r="E199" s="13"/>
    </row>
    <row r="200" spans="1:5" x14ac:dyDescent="0.25">
      <c r="A200" s="13" t="s">
        <v>183</v>
      </c>
      <c r="B200" s="13" t="s">
        <v>578</v>
      </c>
      <c r="C200" s="13" t="s">
        <v>35</v>
      </c>
      <c r="D200" s="13" t="s">
        <v>68</v>
      </c>
      <c r="E200" s="13" t="s">
        <v>486</v>
      </c>
    </row>
    <row r="201" spans="1:5" x14ac:dyDescent="0.25">
      <c r="A201" s="13" t="s">
        <v>179</v>
      </c>
      <c r="B201" s="13" t="s">
        <v>579</v>
      </c>
      <c r="C201" s="13" t="s">
        <v>35</v>
      </c>
      <c r="D201" s="13" t="s">
        <v>34</v>
      </c>
      <c r="E201" s="13" t="s">
        <v>547</v>
      </c>
    </row>
    <row r="202" spans="1:5" x14ac:dyDescent="0.25">
      <c r="A202" s="13" t="s">
        <v>177</v>
      </c>
      <c r="B202" s="13" t="s">
        <v>580</v>
      </c>
      <c r="C202" s="13" t="s">
        <v>35</v>
      </c>
      <c r="D202" s="13"/>
      <c r="E202" s="1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Mapping</vt:lpstr>
      <vt:lpstr>Campaigns</vt:lpstr>
      <vt:lpstr>Legend</vt:lpstr>
      <vt:lpstr>Events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 Travel Agency Downtown Brooklyn</cp:lastModifiedBy>
  <cp:revision>0</cp:revision>
  <dcterms:created xsi:type="dcterms:W3CDTF">2026-08-08T14:10:51Z</dcterms:created>
  <dcterms:modified xsi:type="dcterms:W3CDTF">2026-08-08T15:01:45Z</dcterms:modified>
  <dc:language>en-US</dc:language>
</cp:coreProperties>
</file>